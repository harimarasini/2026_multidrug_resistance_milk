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hidePivotFieldList="1"/>
  <mc:AlternateContent xmlns:mc="http://schemas.openxmlformats.org/markup-compatibility/2006">
    <mc:Choice Requires="x15">
      <x15ac:absPath xmlns:x15ac="http://schemas.microsoft.com/office/spreadsheetml/2010/11/ac" url="https://outlookuga-my.sharepoint.com/personal/hm64666_uga_edu/Documents/Amik/2026_multidrug_resistance_milk/data/"/>
    </mc:Choice>
  </mc:AlternateContent>
  <xr:revisionPtr revIDLastSave="0" documentId="11_63FF9C4BD25C46056FB352C4CD078DAD0BC14BDB" xr6:coauthVersionLast="47" xr6:coauthVersionMax="47" xr10:uidLastSave="{00000000-0000-0000-0000-000000000000}"/>
  <bookViews>
    <workbookView xWindow="-4160" yWindow="-28200" windowWidth="34400" windowHeight="28200" activeTab="4" xr2:uid="{00000000-000D-0000-FFFF-FFFF00000000}"/>
  </bookViews>
  <sheets>
    <sheet name="Agar Resutls" sheetId="2" r:id="rId1"/>
    <sheet name="Re" sheetId="1" r:id="rId2"/>
    <sheet name="Sheet3" sheetId="3" r:id="rId3"/>
    <sheet name="AST" sheetId="4" r:id="rId4"/>
    <sheet name="MIC" sheetId="5" r:id="rId5"/>
    <sheet name="Sheet2" sheetId="6" r:id="rId6"/>
  </sheets>
  <definedNames>
    <definedName name="_xlnm._FilterDatabase" localSheetId="0" hidden="1">'Agar Resutls'!$A$1:$F$44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6" i="1" l="1"/>
  <c r="D46" i="1"/>
  <c r="E46" i="1"/>
  <c r="F46" i="1"/>
  <c r="G46" i="1"/>
  <c r="H46" i="1"/>
  <c r="B46" i="1"/>
</calcChain>
</file>

<file path=xl/sharedStrings.xml><?xml version="1.0" encoding="utf-8"?>
<sst xmlns="http://schemas.openxmlformats.org/spreadsheetml/2006/main" count="945" uniqueCount="105">
  <si>
    <t>SN</t>
  </si>
  <si>
    <t>S. Urberis</t>
  </si>
  <si>
    <t>S. Aureus</t>
  </si>
  <si>
    <t>E. Coli</t>
  </si>
  <si>
    <t>Pseudomonas</t>
  </si>
  <si>
    <t>KEC</t>
  </si>
  <si>
    <t>S. Agalactae</t>
  </si>
  <si>
    <t>p</t>
  </si>
  <si>
    <t>Bacteria</t>
  </si>
  <si>
    <t>Chromagar GN</t>
  </si>
  <si>
    <t>S. uberis</t>
  </si>
  <si>
    <t>E. coli</t>
  </si>
  <si>
    <t>S. aureus</t>
  </si>
  <si>
    <t>S. uberis, S. aureus</t>
  </si>
  <si>
    <t>K,E,C</t>
  </si>
  <si>
    <t>S. agalactae</t>
  </si>
  <si>
    <t>K, E, C</t>
  </si>
  <si>
    <t>S. uberis, S. aurus</t>
  </si>
  <si>
    <t>C. albicans</t>
  </si>
  <si>
    <t>E. coli, C. albicans</t>
  </si>
  <si>
    <t>Pseudomonas, C. albicans</t>
  </si>
  <si>
    <t>Age</t>
  </si>
  <si>
    <t>Breed</t>
  </si>
  <si>
    <t>Name</t>
  </si>
  <si>
    <t>Positive</t>
  </si>
  <si>
    <t>Percentage</t>
  </si>
  <si>
    <t xml:space="preserve">Bishnu Regmi </t>
  </si>
  <si>
    <t>Megh Raj Shrestha</t>
  </si>
  <si>
    <t>Puja Shrestha</t>
  </si>
  <si>
    <t xml:space="preserve">Manbir Lawati </t>
  </si>
  <si>
    <t>Kiran Karki</t>
  </si>
  <si>
    <t>3Y</t>
  </si>
  <si>
    <t>7Y</t>
  </si>
  <si>
    <t>Jersy</t>
  </si>
  <si>
    <t>Jersy cross</t>
  </si>
  <si>
    <t>Holestein</t>
  </si>
  <si>
    <t>Chromagar GP</t>
  </si>
  <si>
    <t>4Y</t>
  </si>
  <si>
    <t>5Y</t>
  </si>
  <si>
    <t>No growth</t>
  </si>
  <si>
    <t>Total</t>
  </si>
  <si>
    <t>Samples with multiple bacteria</t>
  </si>
  <si>
    <t>Positive samples</t>
  </si>
  <si>
    <t>Yes</t>
  </si>
  <si>
    <t>Single bacteria</t>
  </si>
  <si>
    <t>Multiple bacteria?</t>
  </si>
  <si>
    <t>Penicillin</t>
  </si>
  <si>
    <t>Tetracycline</t>
  </si>
  <si>
    <t>Cotrimoxazole</t>
  </si>
  <si>
    <t>Ceftriaxone</t>
  </si>
  <si>
    <t>Gentamycin</t>
  </si>
  <si>
    <t>Doxycycline</t>
  </si>
  <si>
    <t>S</t>
  </si>
  <si>
    <t>R</t>
  </si>
  <si>
    <t>S. agalactie</t>
  </si>
  <si>
    <t>S. urberis</t>
  </si>
  <si>
    <t>Ceftriazone</t>
  </si>
  <si>
    <t>Gentamicin</t>
  </si>
  <si>
    <t>Florfenicol</t>
  </si>
  <si>
    <t>I</t>
  </si>
  <si>
    <t>E.coli</t>
  </si>
  <si>
    <t>S.aureus</t>
  </si>
  <si>
    <t>s</t>
  </si>
  <si>
    <t xml:space="preserve"> </t>
  </si>
  <si>
    <t>Ciprofloxacin</t>
  </si>
  <si>
    <t>Levofloxacin</t>
  </si>
  <si>
    <t>Amikacin</t>
  </si>
  <si>
    <t>S (0.25)</t>
  </si>
  <si>
    <t>S (0.125)</t>
  </si>
  <si>
    <t>Drug</t>
  </si>
  <si>
    <t>Etiology</t>
  </si>
  <si>
    <t>B.P</t>
  </si>
  <si>
    <t>Number</t>
  </si>
  <si>
    <t>Sus</t>
  </si>
  <si>
    <t>%</t>
  </si>
  <si>
    <t>Percent of Isolates at Each Indicated MIC (µg/mL)</t>
  </si>
  <si>
    <t>S (2)</t>
  </si>
  <si>
    <t>S (1)</t>
  </si>
  <si>
    <t>R (x)</t>
  </si>
  <si>
    <t>R (64)</t>
  </si>
  <si>
    <t>S (0.5)</t>
  </si>
  <si>
    <t>I (4)</t>
  </si>
  <si>
    <t>R (32)</t>
  </si>
  <si>
    <t>I (32)</t>
  </si>
  <si>
    <t>R (-)</t>
  </si>
  <si>
    <t>I (16)</t>
  </si>
  <si>
    <t>Ampicillin</t>
  </si>
  <si>
    <t>Oxacillin</t>
  </si>
  <si>
    <t>Enrofloxacin</t>
  </si>
  <si>
    <t>I (8)</t>
  </si>
  <si>
    <t xml:space="preserve">I </t>
  </si>
  <si>
    <t>S (4)</t>
  </si>
  <si>
    <t>S (1`)</t>
  </si>
  <si>
    <t>I (2)</t>
  </si>
  <si>
    <t>R (16)</t>
  </si>
  <si>
    <t xml:space="preserve">R </t>
  </si>
  <si>
    <t>S(0.25)</t>
  </si>
  <si>
    <t>S(0.5)</t>
  </si>
  <si>
    <t>I(4)</t>
  </si>
  <si>
    <t>R (*)</t>
  </si>
  <si>
    <t>I(8)</t>
  </si>
  <si>
    <t>enrofloxacin</t>
  </si>
  <si>
    <t>I(0.5)</t>
  </si>
  <si>
    <t>R (1)</t>
  </si>
  <si>
    <t>S(0.125)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</si>
</sst>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i/>
      <sz val="11"/>
      <color rgb="FF151221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rgb="FF15122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2" fontId="0" fillId="0" borderId="0" xfId="0" applyNumberFormat="1"/>
    <xf numFmtId="0" fontId="2" fillId="0" borderId="0" xfId="0" applyFont="1"/>
    <xf numFmtId="0" fontId="2" fillId="3" borderId="1" xfId="0" applyFont="1" applyFill="1" applyBorder="1"/>
    <xf numFmtId="0" fontId="0" fillId="3" borderId="1" xfId="0" applyFill="1" applyBorder="1"/>
    <xf numFmtId="2" fontId="0" fillId="3" borderId="1" xfId="0" applyNumberFormat="1" applyFill="1" applyBorder="1"/>
    <xf numFmtId="0" fontId="3" fillId="0" borderId="0" xfId="0" applyFont="1"/>
    <xf numFmtId="0" fontId="4" fillId="0" borderId="0" xfId="0" applyFont="1"/>
    <xf numFmtId="0" fontId="0" fillId="0" borderId="0" xfId="0" quotePrefix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6" fillId="0" borderId="0" xfId="0" quotePrefix="1" applyFont="1"/>
    <xf numFmtId="0" fontId="2" fillId="3" borderId="0" xfId="0" applyFont="1" applyFill="1"/>
    <xf numFmtId="0" fontId="7" fillId="3" borderId="0" xfId="0" applyFont="1" applyFill="1"/>
    <xf numFmtId="0" fontId="6" fillId="3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Sheet3!$B$23:$B$25</c:f>
              <c:strCache>
                <c:ptCount val="3"/>
                <c:pt idx="0">
                  <c:v>Samples with multiple bacteria</c:v>
                </c:pt>
                <c:pt idx="1">
                  <c:v>Single bacteria</c:v>
                </c:pt>
                <c:pt idx="2">
                  <c:v>No growth</c:v>
                </c:pt>
              </c:strCache>
            </c:strRef>
          </c:cat>
          <c:val>
            <c:numRef>
              <c:f>Sheet3!$C$23:$C$25</c:f>
              <c:numCache>
                <c:formatCode>General</c:formatCode>
                <c:ptCount val="3"/>
                <c:pt idx="0">
                  <c:v>12</c:v>
                </c:pt>
                <c:pt idx="1">
                  <c:v>30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81-DF4B-8F49-07570E7B0A5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5682344"/>
        <c:axId val="199539472"/>
      </c:barChart>
      <c:catAx>
        <c:axId val="35682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9472"/>
        <c:crosses val="autoZero"/>
        <c:auto val="1"/>
        <c:lblAlgn val="ctr"/>
        <c:lblOffset val="100"/>
        <c:noMultiLvlLbl val="0"/>
      </c:catAx>
      <c:valAx>
        <c:axId val="19953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82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88648293963255"/>
          <c:y val="5.5555555555555552E-2"/>
          <c:w val="0.87122462817147861"/>
          <c:h val="0.688468576844561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Sheet3!$C$5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Sheet3!$B$6:$B$12</c:f>
              <c:strCache>
                <c:ptCount val="7"/>
                <c:pt idx="0">
                  <c:v>S. Urberis</c:v>
                </c:pt>
                <c:pt idx="1">
                  <c:v>S. Aureus</c:v>
                </c:pt>
                <c:pt idx="2">
                  <c:v>E. Coli</c:v>
                </c:pt>
                <c:pt idx="3">
                  <c:v>Pseudomonas</c:v>
                </c:pt>
                <c:pt idx="4">
                  <c:v>KEC</c:v>
                </c:pt>
                <c:pt idx="5">
                  <c:v>S. Agalactae</c:v>
                </c:pt>
                <c:pt idx="6">
                  <c:v>C. albicans</c:v>
                </c:pt>
              </c:strCache>
            </c:strRef>
          </c:cat>
          <c:val>
            <c:numRef>
              <c:f>Sheet3!$C$6:$C$12</c:f>
              <c:numCache>
                <c:formatCode>0.00</c:formatCode>
                <c:ptCount val="7"/>
                <c:pt idx="0">
                  <c:v>41.860465116279073</c:v>
                </c:pt>
                <c:pt idx="1">
                  <c:v>25.581395348837212</c:v>
                </c:pt>
                <c:pt idx="2">
                  <c:v>18.604651162790699</c:v>
                </c:pt>
                <c:pt idx="3">
                  <c:v>13.953488372093023</c:v>
                </c:pt>
                <c:pt idx="4">
                  <c:v>16.279069767441861</c:v>
                </c:pt>
                <c:pt idx="5">
                  <c:v>4.6511627906976747</c:v>
                </c:pt>
                <c:pt idx="6">
                  <c:v>6.9767441860465116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0-8946-BA49-0FCCA424F4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36375096"/>
        <c:axId val="336375480"/>
      </c:barChart>
      <c:catAx>
        <c:axId val="336375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75480"/>
        <c:crosses val="autoZero"/>
        <c:auto val="1"/>
        <c:lblAlgn val="ctr"/>
        <c:lblOffset val="100"/>
        <c:noMultiLvlLbl val="0"/>
      </c:catAx>
      <c:valAx>
        <c:axId val="336375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75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22</xdr:row>
      <xdr:rowOff>61912</xdr:rowOff>
    </xdr:from>
    <xdr:to>
      <xdr:col>11</xdr:col>
      <xdr:colOff>247650</xdr:colOff>
      <xdr:row>36</xdr:row>
      <xdr:rowOff>138112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28575</xdr:colOff>
      <xdr:row>2</xdr:row>
      <xdr:rowOff>52387</xdr:rowOff>
    </xdr:from>
    <xdr:to>
      <xdr:col>11</xdr:col>
      <xdr:colOff>333375</xdr:colOff>
      <xdr:row>16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44"/>
  <sheetViews>
    <sheetView workbookViewId="0">
      <selection activeCell="A2" sqref="A2"/>
    </sheetView>
  </sheetViews>
  <sheetFormatPr baseColWidth="10" defaultColWidth="9.1640625" defaultRowHeight="15" x14ac:dyDescent="0.2"/>
  <cols>
    <col min="2" max="2" width="26.83203125" customWidth="1"/>
    <col min="3" max="3" width="12" customWidth="1"/>
    <col min="4" max="4" width="13.1640625" customWidth="1"/>
    <col min="5" max="5" width="34.5" customWidth="1"/>
    <col min="6" max="6" width="35.6640625" customWidth="1"/>
    <col min="7" max="7" width="17.6640625" customWidth="1"/>
  </cols>
  <sheetData>
    <row r="1" spans="1:7" x14ac:dyDescent="0.2">
      <c r="A1" t="s">
        <v>0</v>
      </c>
      <c r="B1" s="4" t="s">
        <v>23</v>
      </c>
      <c r="C1" s="4" t="s">
        <v>21</v>
      </c>
      <c r="D1" s="4" t="s">
        <v>22</v>
      </c>
      <c r="E1" s="4" t="s">
        <v>36</v>
      </c>
      <c r="F1" s="4" t="s">
        <v>9</v>
      </c>
      <c r="G1" s="4" t="s">
        <v>45</v>
      </c>
    </row>
    <row r="2" spans="1:7" x14ac:dyDescent="0.2">
      <c r="A2">
        <v>1</v>
      </c>
      <c r="B2" t="s">
        <v>26</v>
      </c>
      <c r="C2" t="s">
        <v>37</v>
      </c>
      <c r="D2" t="s">
        <v>33</v>
      </c>
      <c r="E2" t="s">
        <v>10</v>
      </c>
      <c r="F2" t="s">
        <v>11</v>
      </c>
      <c r="G2" t="s">
        <v>43</v>
      </c>
    </row>
    <row r="3" spans="1:7" x14ac:dyDescent="0.2">
      <c r="A3">
        <v>2</v>
      </c>
      <c r="B3" t="s">
        <v>27</v>
      </c>
      <c r="C3" t="s">
        <v>31</v>
      </c>
      <c r="D3" t="s">
        <v>34</v>
      </c>
      <c r="E3" t="s">
        <v>12</v>
      </c>
    </row>
    <row r="4" spans="1:7" x14ac:dyDescent="0.2">
      <c r="A4">
        <v>3</v>
      </c>
      <c r="B4" t="s">
        <v>28</v>
      </c>
      <c r="C4" t="s">
        <v>32</v>
      </c>
      <c r="D4" t="s">
        <v>35</v>
      </c>
      <c r="E4" t="s">
        <v>13</v>
      </c>
      <c r="G4" t="s">
        <v>43</v>
      </c>
    </row>
    <row r="5" spans="1:7" x14ac:dyDescent="0.2">
      <c r="A5">
        <v>4</v>
      </c>
      <c r="B5" t="s">
        <v>29</v>
      </c>
      <c r="C5" t="s">
        <v>38</v>
      </c>
      <c r="D5" t="s">
        <v>33</v>
      </c>
      <c r="F5" t="s">
        <v>19</v>
      </c>
      <c r="G5" t="s">
        <v>43</v>
      </c>
    </row>
    <row r="6" spans="1:7" x14ac:dyDescent="0.2">
      <c r="A6">
        <v>5</v>
      </c>
      <c r="B6" t="s">
        <v>30</v>
      </c>
      <c r="C6" t="s">
        <v>32</v>
      </c>
      <c r="E6" t="s">
        <v>10</v>
      </c>
    </row>
    <row r="7" spans="1:7" x14ac:dyDescent="0.2">
      <c r="A7">
        <v>6</v>
      </c>
      <c r="F7" t="s">
        <v>14</v>
      </c>
    </row>
    <row r="8" spans="1:7" x14ac:dyDescent="0.2">
      <c r="A8">
        <v>7</v>
      </c>
      <c r="E8" t="s">
        <v>10</v>
      </c>
    </row>
    <row r="9" spans="1:7" x14ac:dyDescent="0.2">
      <c r="A9">
        <v>8</v>
      </c>
      <c r="E9" t="s">
        <v>12</v>
      </c>
    </row>
    <row r="10" spans="1:7" x14ac:dyDescent="0.2">
      <c r="A10">
        <v>9</v>
      </c>
      <c r="E10" t="s">
        <v>12</v>
      </c>
    </row>
    <row r="11" spans="1:7" x14ac:dyDescent="0.2">
      <c r="A11">
        <v>10</v>
      </c>
      <c r="E11" t="s">
        <v>10</v>
      </c>
      <c r="F11" t="s">
        <v>11</v>
      </c>
      <c r="G11" t="s">
        <v>43</v>
      </c>
    </row>
    <row r="12" spans="1:7" x14ac:dyDescent="0.2">
      <c r="A12">
        <v>11</v>
      </c>
      <c r="E12" t="s">
        <v>10</v>
      </c>
    </row>
    <row r="13" spans="1:7" x14ac:dyDescent="0.2">
      <c r="A13">
        <v>12</v>
      </c>
      <c r="E13" t="s">
        <v>12</v>
      </c>
    </row>
    <row r="14" spans="1:7" x14ac:dyDescent="0.2">
      <c r="A14">
        <v>13</v>
      </c>
      <c r="E14" t="s">
        <v>13</v>
      </c>
      <c r="F14" t="s">
        <v>4</v>
      </c>
      <c r="G14" t="s">
        <v>43</v>
      </c>
    </row>
    <row r="15" spans="1:7" x14ac:dyDescent="0.2">
      <c r="A15">
        <v>14</v>
      </c>
      <c r="E15" t="s">
        <v>10</v>
      </c>
      <c r="F15" t="s">
        <v>11</v>
      </c>
      <c r="G15" t="s">
        <v>43</v>
      </c>
    </row>
    <row r="16" spans="1:7" x14ac:dyDescent="0.2">
      <c r="A16">
        <v>15</v>
      </c>
      <c r="E16" t="s">
        <v>10</v>
      </c>
    </row>
    <row r="17" spans="1:7" x14ac:dyDescent="0.2">
      <c r="A17">
        <v>16</v>
      </c>
      <c r="E17" t="s">
        <v>15</v>
      </c>
    </row>
    <row r="18" spans="1:7" x14ac:dyDescent="0.2">
      <c r="A18">
        <v>17</v>
      </c>
      <c r="E18" t="s">
        <v>12</v>
      </c>
    </row>
    <row r="19" spans="1:7" x14ac:dyDescent="0.2">
      <c r="A19">
        <v>18</v>
      </c>
      <c r="E19" t="s">
        <v>15</v>
      </c>
    </row>
    <row r="20" spans="1:7" x14ac:dyDescent="0.2">
      <c r="A20">
        <v>19</v>
      </c>
      <c r="E20" t="s">
        <v>13</v>
      </c>
      <c r="G20" t="s">
        <v>43</v>
      </c>
    </row>
    <row r="21" spans="1:7" x14ac:dyDescent="0.2">
      <c r="A21">
        <v>20</v>
      </c>
      <c r="F21" t="s">
        <v>4</v>
      </c>
    </row>
    <row r="22" spans="1:7" x14ac:dyDescent="0.2">
      <c r="A22">
        <v>21</v>
      </c>
      <c r="F22" t="s">
        <v>11</v>
      </c>
    </row>
    <row r="23" spans="1:7" x14ac:dyDescent="0.2">
      <c r="A23">
        <v>22</v>
      </c>
      <c r="F23" t="s">
        <v>14</v>
      </c>
    </row>
    <row r="24" spans="1:7" x14ac:dyDescent="0.2">
      <c r="A24">
        <v>23</v>
      </c>
      <c r="E24" t="s">
        <v>10</v>
      </c>
      <c r="F24" t="s">
        <v>4</v>
      </c>
      <c r="G24" t="s">
        <v>43</v>
      </c>
    </row>
    <row r="25" spans="1:7" x14ac:dyDescent="0.2">
      <c r="A25">
        <v>24</v>
      </c>
      <c r="F25" t="s">
        <v>14</v>
      </c>
    </row>
    <row r="26" spans="1:7" x14ac:dyDescent="0.2">
      <c r="A26">
        <v>25</v>
      </c>
      <c r="F26" t="s">
        <v>11</v>
      </c>
    </row>
    <row r="27" spans="1:7" x14ac:dyDescent="0.2">
      <c r="A27">
        <v>26</v>
      </c>
      <c r="F27" t="s">
        <v>11</v>
      </c>
    </row>
    <row r="28" spans="1:7" x14ac:dyDescent="0.2">
      <c r="A28">
        <v>27</v>
      </c>
      <c r="E28" t="s">
        <v>10</v>
      </c>
    </row>
    <row r="29" spans="1:7" x14ac:dyDescent="0.2">
      <c r="A29">
        <v>28</v>
      </c>
      <c r="F29" s="1" t="s">
        <v>18</v>
      </c>
    </row>
    <row r="30" spans="1:7" x14ac:dyDescent="0.2">
      <c r="A30">
        <v>29</v>
      </c>
      <c r="F30" t="s">
        <v>16</v>
      </c>
    </row>
    <row r="31" spans="1:7" x14ac:dyDescent="0.2">
      <c r="A31">
        <v>30</v>
      </c>
      <c r="F31" t="s">
        <v>16</v>
      </c>
    </row>
    <row r="32" spans="1:7" x14ac:dyDescent="0.2">
      <c r="A32">
        <v>31</v>
      </c>
      <c r="F32" t="s">
        <v>4</v>
      </c>
    </row>
    <row r="33" spans="1:7" x14ac:dyDescent="0.2">
      <c r="A33">
        <v>32</v>
      </c>
      <c r="E33" t="s">
        <v>17</v>
      </c>
      <c r="G33" t="s">
        <v>43</v>
      </c>
    </row>
    <row r="34" spans="1:7" x14ac:dyDescent="0.2">
      <c r="A34">
        <v>33</v>
      </c>
      <c r="E34" t="s">
        <v>10</v>
      </c>
    </row>
    <row r="35" spans="1:7" x14ac:dyDescent="0.2">
      <c r="A35">
        <v>34</v>
      </c>
      <c r="E35" t="s">
        <v>17</v>
      </c>
      <c r="G35" t="s">
        <v>43</v>
      </c>
    </row>
    <row r="36" spans="1:7" x14ac:dyDescent="0.2">
      <c r="A36">
        <v>35</v>
      </c>
      <c r="F36" t="s">
        <v>16</v>
      </c>
    </row>
    <row r="37" spans="1:7" x14ac:dyDescent="0.2">
      <c r="A37">
        <v>36</v>
      </c>
      <c r="F37" t="s">
        <v>4</v>
      </c>
    </row>
    <row r="38" spans="1:7" x14ac:dyDescent="0.2">
      <c r="A38" s="2">
        <v>37</v>
      </c>
      <c r="B38" s="2"/>
      <c r="C38" s="2"/>
      <c r="D38" s="2"/>
      <c r="E38" s="2"/>
      <c r="F38" s="2"/>
    </row>
    <row r="39" spans="1:7" x14ac:dyDescent="0.2">
      <c r="A39">
        <v>38</v>
      </c>
      <c r="E39" t="s">
        <v>10</v>
      </c>
    </row>
    <row r="40" spans="1:7" x14ac:dyDescent="0.2">
      <c r="A40">
        <v>39</v>
      </c>
      <c r="F40" t="s">
        <v>16</v>
      </c>
    </row>
    <row r="41" spans="1:7" x14ac:dyDescent="0.2">
      <c r="A41">
        <v>40</v>
      </c>
      <c r="E41" t="s">
        <v>10</v>
      </c>
      <c r="F41" t="s">
        <v>11</v>
      </c>
      <c r="G41" t="s">
        <v>43</v>
      </c>
    </row>
    <row r="42" spans="1:7" x14ac:dyDescent="0.2">
      <c r="A42">
        <v>41</v>
      </c>
      <c r="E42" t="s">
        <v>12</v>
      </c>
    </row>
    <row r="43" spans="1:7" x14ac:dyDescent="0.2">
      <c r="A43">
        <v>42</v>
      </c>
      <c r="E43" t="s">
        <v>10</v>
      </c>
    </row>
    <row r="44" spans="1:7" x14ac:dyDescent="0.2">
      <c r="A44">
        <v>43</v>
      </c>
      <c r="F44" s="1" t="s">
        <v>20</v>
      </c>
      <c r="G44" t="s">
        <v>43</v>
      </c>
    </row>
  </sheetData>
  <autoFilter ref="A1:F44" xr:uid="{00000000-0009-0000-0000-000000000000}">
    <filterColumn colId="0">
      <iconFilter iconSet="3Arrows"/>
    </filterColumn>
  </autoFilter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1" bestFit="1" customWidth="1"/>
    <col min="2" max="2" width="12.5" customWidth="1"/>
    <col min="3" max="4" width="11.33203125" customWidth="1"/>
    <col min="5" max="5" width="14" bestFit="1" customWidth="1"/>
    <col min="6" max="6" width="12.5" bestFit="1" customWidth="1"/>
    <col min="7" max="7" width="12.5" customWidth="1"/>
    <col min="8" max="8" width="11.33203125" customWidth="1"/>
  </cols>
  <sheetData>
    <row r="1" spans="1:9" x14ac:dyDescent="0.2">
      <c r="A1" s="4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8" t="s">
        <v>18</v>
      </c>
      <c r="I1" s="4"/>
    </row>
    <row r="2" spans="1:9" x14ac:dyDescent="0.2">
      <c r="A2">
        <v>1</v>
      </c>
      <c r="B2" t="s">
        <v>7</v>
      </c>
      <c r="D2" t="s">
        <v>7</v>
      </c>
    </row>
    <row r="3" spans="1:9" x14ac:dyDescent="0.2">
      <c r="A3">
        <v>2</v>
      </c>
      <c r="C3" t="s">
        <v>7</v>
      </c>
    </row>
    <row r="4" spans="1:9" x14ac:dyDescent="0.2">
      <c r="A4">
        <v>3</v>
      </c>
      <c r="B4" t="s">
        <v>7</v>
      </c>
      <c r="C4" t="s">
        <v>7</v>
      </c>
    </row>
    <row r="5" spans="1:9" x14ac:dyDescent="0.2">
      <c r="A5">
        <v>4</v>
      </c>
      <c r="D5" t="s">
        <v>7</v>
      </c>
      <c r="H5" t="s">
        <v>7</v>
      </c>
    </row>
    <row r="6" spans="1:9" x14ac:dyDescent="0.2">
      <c r="A6">
        <v>5</v>
      </c>
      <c r="B6" t="s">
        <v>7</v>
      </c>
    </row>
    <row r="7" spans="1:9" x14ac:dyDescent="0.2">
      <c r="A7">
        <v>6</v>
      </c>
      <c r="F7" t="s">
        <v>7</v>
      </c>
    </row>
    <row r="8" spans="1:9" x14ac:dyDescent="0.2">
      <c r="A8">
        <v>7</v>
      </c>
      <c r="B8" t="s">
        <v>7</v>
      </c>
    </row>
    <row r="9" spans="1:9" x14ac:dyDescent="0.2">
      <c r="A9">
        <v>8</v>
      </c>
      <c r="C9" t="s">
        <v>7</v>
      </c>
    </row>
    <row r="10" spans="1:9" x14ac:dyDescent="0.2">
      <c r="A10">
        <v>9</v>
      </c>
      <c r="C10" t="s">
        <v>7</v>
      </c>
    </row>
    <row r="11" spans="1:9" x14ac:dyDescent="0.2">
      <c r="A11">
        <v>10</v>
      </c>
      <c r="B11" t="s">
        <v>7</v>
      </c>
      <c r="D11" t="s">
        <v>7</v>
      </c>
    </row>
    <row r="12" spans="1:9" x14ac:dyDescent="0.2">
      <c r="A12">
        <v>11</v>
      </c>
      <c r="B12" t="s">
        <v>7</v>
      </c>
    </row>
    <row r="13" spans="1:9" x14ac:dyDescent="0.2">
      <c r="A13">
        <v>12</v>
      </c>
      <c r="C13" t="s">
        <v>7</v>
      </c>
    </row>
    <row r="14" spans="1:9" x14ac:dyDescent="0.2">
      <c r="A14">
        <v>13</v>
      </c>
      <c r="B14" t="s">
        <v>7</v>
      </c>
      <c r="C14" t="s">
        <v>7</v>
      </c>
      <c r="E14" t="s">
        <v>7</v>
      </c>
    </row>
    <row r="15" spans="1:9" x14ac:dyDescent="0.2">
      <c r="A15">
        <v>14</v>
      </c>
      <c r="B15" t="s">
        <v>7</v>
      </c>
      <c r="D15" t="s">
        <v>7</v>
      </c>
    </row>
    <row r="16" spans="1:9" x14ac:dyDescent="0.2">
      <c r="A16">
        <v>15</v>
      </c>
      <c r="B16" t="s">
        <v>7</v>
      </c>
    </row>
    <row r="17" spans="1:8" x14ac:dyDescent="0.2">
      <c r="A17">
        <v>16</v>
      </c>
      <c r="G17" t="s">
        <v>7</v>
      </c>
    </row>
    <row r="18" spans="1:8" x14ac:dyDescent="0.2">
      <c r="A18">
        <v>17</v>
      </c>
      <c r="C18" t="s">
        <v>7</v>
      </c>
    </row>
    <row r="19" spans="1:8" x14ac:dyDescent="0.2">
      <c r="A19">
        <v>18</v>
      </c>
      <c r="G19" t="s">
        <v>7</v>
      </c>
    </row>
    <row r="20" spans="1:8" x14ac:dyDescent="0.2">
      <c r="A20">
        <v>19</v>
      </c>
      <c r="B20" t="s">
        <v>7</v>
      </c>
      <c r="C20" t="s">
        <v>7</v>
      </c>
    </row>
    <row r="21" spans="1:8" x14ac:dyDescent="0.2">
      <c r="A21">
        <v>20</v>
      </c>
      <c r="E21" t="s">
        <v>7</v>
      </c>
    </row>
    <row r="22" spans="1:8" x14ac:dyDescent="0.2">
      <c r="A22">
        <v>21</v>
      </c>
      <c r="D22" t="s">
        <v>7</v>
      </c>
    </row>
    <row r="23" spans="1:8" x14ac:dyDescent="0.2">
      <c r="A23">
        <v>22</v>
      </c>
      <c r="F23" t="s">
        <v>7</v>
      </c>
    </row>
    <row r="24" spans="1:8" x14ac:dyDescent="0.2">
      <c r="A24">
        <v>23</v>
      </c>
      <c r="B24" t="s">
        <v>7</v>
      </c>
      <c r="E24" t="s">
        <v>7</v>
      </c>
    </row>
    <row r="25" spans="1:8" x14ac:dyDescent="0.2">
      <c r="A25">
        <v>24</v>
      </c>
      <c r="F25" t="s">
        <v>7</v>
      </c>
    </row>
    <row r="26" spans="1:8" x14ac:dyDescent="0.2">
      <c r="A26">
        <v>25</v>
      </c>
      <c r="D26" t="s">
        <v>7</v>
      </c>
    </row>
    <row r="27" spans="1:8" x14ac:dyDescent="0.2">
      <c r="A27">
        <v>26</v>
      </c>
      <c r="D27" t="s">
        <v>7</v>
      </c>
    </row>
    <row r="28" spans="1:8" x14ac:dyDescent="0.2">
      <c r="A28">
        <v>27</v>
      </c>
      <c r="B28" t="s">
        <v>7</v>
      </c>
    </row>
    <row r="29" spans="1:8" x14ac:dyDescent="0.2">
      <c r="A29">
        <v>28</v>
      </c>
      <c r="H29" t="s">
        <v>7</v>
      </c>
    </row>
    <row r="30" spans="1:8" x14ac:dyDescent="0.2">
      <c r="A30">
        <v>29</v>
      </c>
      <c r="F30" t="s">
        <v>7</v>
      </c>
    </row>
    <row r="31" spans="1:8" x14ac:dyDescent="0.2">
      <c r="A31">
        <v>30</v>
      </c>
      <c r="F31" t="s">
        <v>7</v>
      </c>
    </row>
    <row r="32" spans="1:8" x14ac:dyDescent="0.2">
      <c r="A32">
        <v>31</v>
      </c>
      <c r="E32" t="s">
        <v>7</v>
      </c>
    </row>
    <row r="33" spans="1:8" x14ac:dyDescent="0.2">
      <c r="A33">
        <v>32</v>
      </c>
      <c r="B33" t="s">
        <v>7</v>
      </c>
      <c r="C33" t="s">
        <v>7</v>
      </c>
    </row>
    <row r="34" spans="1:8" x14ac:dyDescent="0.2">
      <c r="A34">
        <v>33</v>
      </c>
      <c r="B34" t="s">
        <v>7</v>
      </c>
    </row>
    <row r="35" spans="1:8" x14ac:dyDescent="0.2">
      <c r="A35">
        <v>34</v>
      </c>
      <c r="B35" t="s">
        <v>7</v>
      </c>
      <c r="C35" t="s">
        <v>7</v>
      </c>
    </row>
    <row r="36" spans="1:8" x14ac:dyDescent="0.2">
      <c r="A36">
        <v>35</v>
      </c>
      <c r="F36" t="s">
        <v>7</v>
      </c>
    </row>
    <row r="37" spans="1:8" x14ac:dyDescent="0.2">
      <c r="A37">
        <v>36</v>
      </c>
      <c r="E37" t="s">
        <v>7</v>
      </c>
    </row>
    <row r="38" spans="1:8" x14ac:dyDescent="0.2">
      <c r="A38" s="2">
        <v>37</v>
      </c>
      <c r="B38" s="2"/>
      <c r="C38" s="2"/>
      <c r="D38" s="2"/>
      <c r="E38" s="2"/>
      <c r="F38" s="2"/>
      <c r="G38" s="2"/>
      <c r="H38" s="2"/>
    </row>
    <row r="39" spans="1:8" x14ac:dyDescent="0.2">
      <c r="A39">
        <v>38</v>
      </c>
      <c r="B39" t="s">
        <v>7</v>
      </c>
    </row>
    <row r="40" spans="1:8" x14ac:dyDescent="0.2">
      <c r="A40">
        <v>39</v>
      </c>
      <c r="F40" t="s">
        <v>7</v>
      </c>
    </row>
    <row r="41" spans="1:8" x14ac:dyDescent="0.2">
      <c r="A41">
        <v>40</v>
      </c>
      <c r="B41" t="s">
        <v>7</v>
      </c>
      <c r="D41" t="s">
        <v>7</v>
      </c>
    </row>
    <row r="42" spans="1:8" x14ac:dyDescent="0.2">
      <c r="A42">
        <v>41</v>
      </c>
      <c r="C42" t="s">
        <v>7</v>
      </c>
    </row>
    <row r="43" spans="1:8" x14ac:dyDescent="0.2">
      <c r="A43">
        <v>42</v>
      </c>
      <c r="B43" t="s">
        <v>7</v>
      </c>
    </row>
    <row r="44" spans="1:8" x14ac:dyDescent="0.2">
      <c r="A44">
        <v>43</v>
      </c>
      <c r="E44" t="s">
        <v>7</v>
      </c>
      <c r="H44" t="s">
        <v>7</v>
      </c>
    </row>
    <row r="45" spans="1:8" x14ac:dyDescent="0.2">
      <c r="A45" s="5" t="s">
        <v>24</v>
      </c>
      <c r="B45" s="6">
        <v>18</v>
      </c>
      <c r="C45" s="6">
        <v>11</v>
      </c>
      <c r="D45" s="6">
        <v>8</v>
      </c>
      <c r="E45" s="6">
        <v>6</v>
      </c>
      <c r="F45" s="6">
        <v>7</v>
      </c>
      <c r="G45" s="6">
        <v>2</v>
      </c>
      <c r="H45" s="6">
        <v>3</v>
      </c>
    </row>
    <row r="46" spans="1:8" x14ac:dyDescent="0.2">
      <c r="A46" s="5" t="s">
        <v>25</v>
      </c>
      <c r="B46" s="7">
        <f>(B45/43)*100</f>
        <v>41.860465116279073</v>
      </c>
      <c r="C46" s="7">
        <f t="shared" ref="C46:H46" si="0">(C45/43)*100</f>
        <v>25.581395348837212</v>
      </c>
      <c r="D46" s="7">
        <f t="shared" si="0"/>
        <v>18.604651162790699</v>
      </c>
      <c r="E46" s="7">
        <f t="shared" si="0"/>
        <v>13.953488372093023</v>
      </c>
      <c r="F46" s="7">
        <f t="shared" si="0"/>
        <v>16.279069767441861</v>
      </c>
      <c r="G46" s="7">
        <f t="shared" si="0"/>
        <v>4.6511627906976747</v>
      </c>
      <c r="H46" s="7">
        <f t="shared" si="0"/>
        <v>6.9767441860465116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H25"/>
  <sheetViews>
    <sheetView workbookViewId="0">
      <selection activeCell="C24" sqref="C24"/>
    </sheetView>
  </sheetViews>
  <sheetFormatPr baseColWidth="10" defaultColWidth="8.83203125" defaultRowHeight="15" x14ac:dyDescent="0.2"/>
  <cols>
    <col min="2" max="2" width="29" bestFit="1" customWidth="1"/>
    <col min="3" max="3" width="11" bestFit="1" customWidth="1"/>
  </cols>
  <sheetData>
    <row r="3" spans="2:8" x14ac:dyDescent="0.2">
      <c r="H3" s="1"/>
    </row>
    <row r="5" spans="2:8" x14ac:dyDescent="0.2">
      <c r="B5" s="4" t="s">
        <v>8</v>
      </c>
      <c r="C5" s="4" t="s">
        <v>25</v>
      </c>
    </row>
    <row r="6" spans="2:8" x14ac:dyDescent="0.2">
      <c r="B6" t="s">
        <v>1</v>
      </c>
      <c r="C6" s="3">
        <v>41.860465116279073</v>
      </c>
    </row>
    <row r="7" spans="2:8" x14ac:dyDescent="0.2">
      <c r="B7" t="s">
        <v>2</v>
      </c>
      <c r="C7" s="3">
        <v>25.581395348837212</v>
      </c>
    </row>
    <row r="8" spans="2:8" x14ac:dyDescent="0.2">
      <c r="B8" t="s">
        <v>3</v>
      </c>
      <c r="C8" s="3">
        <v>18.604651162790699</v>
      </c>
    </row>
    <row r="9" spans="2:8" x14ac:dyDescent="0.2">
      <c r="B9" t="s">
        <v>4</v>
      </c>
      <c r="C9" s="3">
        <v>13.953488372093023</v>
      </c>
    </row>
    <row r="10" spans="2:8" x14ac:dyDescent="0.2">
      <c r="B10" t="s">
        <v>5</v>
      </c>
      <c r="C10" s="3">
        <v>16.279069767441861</v>
      </c>
    </row>
    <row r="11" spans="2:8" x14ac:dyDescent="0.2">
      <c r="B11" t="s">
        <v>6</v>
      </c>
      <c r="C11" s="3">
        <v>4.6511627906976747</v>
      </c>
    </row>
    <row r="12" spans="2:8" x14ac:dyDescent="0.2">
      <c r="B12" s="1" t="s">
        <v>18</v>
      </c>
      <c r="C12" s="3">
        <v>6.9767441860465116</v>
      </c>
    </row>
    <row r="18" spans="2:3" x14ac:dyDescent="0.2">
      <c r="B18" t="s">
        <v>42</v>
      </c>
      <c r="C18">
        <v>42</v>
      </c>
    </row>
    <row r="19" spans="2:3" x14ac:dyDescent="0.2">
      <c r="B19" t="s">
        <v>39</v>
      </c>
      <c r="C19">
        <v>1</v>
      </c>
    </row>
    <row r="20" spans="2:3" x14ac:dyDescent="0.2">
      <c r="B20" t="s">
        <v>40</v>
      </c>
      <c r="C20">
        <v>43</v>
      </c>
    </row>
    <row r="23" spans="2:3" x14ac:dyDescent="0.2">
      <c r="B23" t="s">
        <v>41</v>
      </c>
      <c r="C23">
        <v>12</v>
      </c>
    </row>
    <row r="24" spans="2:3" x14ac:dyDescent="0.2">
      <c r="B24" t="s">
        <v>44</v>
      </c>
      <c r="C24">
        <v>30</v>
      </c>
    </row>
    <row r="25" spans="2:3" x14ac:dyDescent="0.2">
      <c r="B25" t="s">
        <v>39</v>
      </c>
      <c r="C25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3"/>
  <sheetViews>
    <sheetView workbookViewId="0">
      <selection activeCell="A20" sqref="A20"/>
    </sheetView>
  </sheetViews>
  <sheetFormatPr baseColWidth="10" defaultColWidth="8.83203125" defaultRowHeight="15" x14ac:dyDescent="0.2"/>
  <cols>
    <col min="1" max="1" width="13.5" bestFit="1" customWidth="1"/>
    <col min="2" max="2" width="12.6640625" bestFit="1" customWidth="1"/>
    <col min="3" max="4" width="14" bestFit="1" customWidth="1"/>
    <col min="5" max="7" width="11.5" bestFit="1" customWidth="1"/>
    <col min="8" max="8" width="12" bestFit="1" customWidth="1"/>
  </cols>
  <sheetData>
    <row r="1" spans="1:7" x14ac:dyDescent="0.2">
      <c r="A1" s="9" t="s">
        <v>55</v>
      </c>
    </row>
    <row r="2" spans="1:7" x14ac:dyDescent="0.2">
      <c r="A2" s="4" t="s">
        <v>0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</row>
    <row r="3" spans="1:7" x14ac:dyDescent="0.2">
      <c r="A3" s="11">
        <v>1</v>
      </c>
      <c r="B3" t="s">
        <v>52</v>
      </c>
      <c r="C3" t="s">
        <v>59</v>
      </c>
      <c r="D3" t="s">
        <v>52</v>
      </c>
      <c r="E3" t="s">
        <v>52</v>
      </c>
      <c r="F3" t="s">
        <v>52</v>
      </c>
      <c r="G3" t="s">
        <v>52</v>
      </c>
    </row>
    <row r="4" spans="1:7" x14ac:dyDescent="0.2">
      <c r="A4" s="11">
        <v>2</v>
      </c>
      <c r="B4" t="s">
        <v>52</v>
      </c>
      <c r="C4" t="s">
        <v>53</v>
      </c>
      <c r="D4" t="s">
        <v>59</v>
      </c>
      <c r="E4" t="s">
        <v>52</v>
      </c>
      <c r="F4" t="s">
        <v>52</v>
      </c>
      <c r="G4" t="s">
        <v>52</v>
      </c>
    </row>
    <row r="5" spans="1:7" x14ac:dyDescent="0.2">
      <c r="A5" s="11">
        <v>3</v>
      </c>
      <c r="B5" t="s">
        <v>62</v>
      </c>
      <c r="C5" t="s">
        <v>59</v>
      </c>
      <c r="D5" t="s">
        <v>52</v>
      </c>
      <c r="E5" t="s">
        <v>52</v>
      </c>
      <c r="F5" t="s">
        <v>52</v>
      </c>
      <c r="G5" t="s">
        <v>59</v>
      </c>
    </row>
    <row r="6" spans="1:7" x14ac:dyDescent="0.2">
      <c r="A6" s="11">
        <v>4</v>
      </c>
      <c r="B6" t="s">
        <v>52</v>
      </c>
      <c r="C6" t="s">
        <v>53</v>
      </c>
      <c r="D6" t="s">
        <v>53</v>
      </c>
      <c r="E6" t="s">
        <v>52</v>
      </c>
      <c r="F6" t="s">
        <v>52</v>
      </c>
      <c r="G6" t="s">
        <v>52</v>
      </c>
    </row>
    <row r="7" spans="1:7" x14ac:dyDescent="0.2">
      <c r="A7" s="11">
        <v>5</v>
      </c>
      <c r="B7" t="s">
        <v>52</v>
      </c>
      <c r="C7" t="s">
        <v>59</v>
      </c>
      <c r="D7" t="s">
        <v>52</v>
      </c>
      <c r="E7" t="s">
        <v>52</v>
      </c>
      <c r="F7" t="s">
        <v>52</v>
      </c>
      <c r="G7" t="s">
        <v>52</v>
      </c>
    </row>
    <row r="8" spans="1:7" x14ac:dyDescent="0.2">
      <c r="A8" s="11">
        <v>6</v>
      </c>
      <c r="B8" t="s">
        <v>52</v>
      </c>
      <c r="C8" t="s">
        <v>53</v>
      </c>
      <c r="D8" t="s">
        <v>52</v>
      </c>
      <c r="E8" t="s">
        <v>52</v>
      </c>
      <c r="F8" t="s">
        <v>52</v>
      </c>
      <c r="G8" t="s">
        <v>52</v>
      </c>
    </row>
    <row r="9" spans="1:7" x14ac:dyDescent="0.2">
      <c r="A9" s="11">
        <v>7</v>
      </c>
      <c r="B9" t="s">
        <v>52</v>
      </c>
      <c r="C9" t="s">
        <v>59</v>
      </c>
      <c r="D9" t="s">
        <v>59</v>
      </c>
      <c r="E9" t="s">
        <v>52</v>
      </c>
      <c r="F9" t="s">
        <v>52</v>
      </c>
      <c r="G9" t="s">
        <v>52</v>
      </c>
    </row>
    <row r="10" spans="1:7" x14ac:dyDescent="0.2">
      <c r="A10" s="11">
        <v>8</v>
      </c>
      <c r="B10" t="s">
        <v>52</v>
      </c>
      <c r="C10" t="s">
        <v>53</v>
      </c>
      <c r="D10" t="s">
        <v>52</v>
      </c>
      <c r="E10" t="s">
        <v>52</v>
      </c>
      <c r="F10" t="s">
        <v>52</v>
      </c>
      <c r="G10" t="s">
        <v>59</v>
      </c>
    </row>
    <row r="11" spans="1:7" x14ac:dyDescent="0.2">
      <c r="A11" s="11">
        <v>9</v>
      </c>
      <c r="B11" t="s">
        <v>52</v>
      </c>
      <c r="C11" t="s">
        <v>59</v>
      </c>
      <c r="D11" t="s">
        <v>52</v>
      </c>
      <c r="E11" t="s">
        <v>52</v>
      </c>
      <c r="F11" t="s">
        <v>52</v>
      </c>
      <c r="G11" t="s">
        <v>52</v>
      </c>
    </row>
    <row r="12" spans="1:7" x14ac:dyDescent="0.2">
      <c r="A12" s="11">
        <v>10</v>
      </c>
      <c r="B12" t="s">
        <v>52</v>
      </c>
      <c r="C12" t="s">
        <v>53</v>
      </c>
      <c r="D12" t="s">
        <v>59</v>
      </c>
      <c r="E12" t="s">
        <v>52</v>
      </c>
      <c r="F12" t="s">
        <v>52</v>
      </c>
      <c r="G12" t="s">
        <v>52</v>
      </c>
    </row>
    <row r="13" spans="1:7" x14ac:dyDescent="0.2">
      <c r="A13" s="11">
        <v>11</v>
      </c>
      <c r="B13" t="s">
        <v>52</v>
      </c>
      <c r="C13" t="s">
        <v>59</v>
      </c>
      <c r="D13" t="s">
        <v>52</v>
      </c>
      <c r="E13" t="s">
        <v>52</v>
      </c>
      <c r="F13" t="s">
        <v>52</v>
      </c>
      <c r="G13" t="s">
        <v>52</v>
      </c>
    </row>
    <row r="14" spans="1:7" x14ac:dyDescent="0.2">
      <c r="A14" s="11">
        <v>12</v>
      </c>
      <c r="B14" t="s">
        <v>52</v>
      </c>
      <c r="C14" t="s">
        <v>53</v>
      </c>
      <c r="D14" t="s">
        <v>53</v>
      </c>
      <c r="E14" t="s">
        <v>52</v>
      </c>
      <c r="F14" t="s">
        <v>52</v>
      </c>
      <c r="G14" t="s">
        <v>59</v>
      </c>
    </row>
    <row r="15" spans="1:7" x14ac:dyDescent="0.2">
      <c r="A15" s="11">
        <v>13</v>
      </c>
      <c r="B15" t="s">
        <v>52</v>
      </c>
      <c r="C15" t="s">
        <v>59</v>
      </c>
      <c r="D15" t="s">
        <v>59</v>
      </c>
      <c r="E15" t="s">
        <v>52</v>
      </c>
      <c r="F15" t="s">
        <v>52</v>
      </c>
      <c r="G15" t="s">
        <v>52</v>
      </c>
    </row>
    <row r="16" spans="1:7" x14ac:dyDescent="0.2">
      <c r="A16" s="11">
        <v>14</v>
      </c>
      <c r="B16" t="s">
        <v>52</v>
      </c>
      <c r="C16" t="s">
        <v>53</v>
      </c>
      <c r="D16" t="s">
        <v>52</v>
      </c>
      <c r="E16" t="s">
        <v>52</v>
      </c>
      <c r="F16" t="s">
        <v>52</v>
      </c>
      <c r="G16" t="s">
        <v>52</v>
      </c>
    </row>
    <row r="17" spans="1:7" x14ac:dyDescent="0.2">
      <c r="A17" s="11">
        <v>15</v>
      </c>
      <c r="B17" t="s">
        <v>52</v>
      </c>
      <c r="C17" t="s">
        <v>59</v>
      </c>
      <c r="D17" t="s">
        <v>52</v>
      </c>
      <c r="E17" t="s">
        <v>52</v>
      </c>
      <c r="F17" t="s">
        <v>52</v>
      </c>
      <c r="G17" t="s">
        <v>59</v>
      </c>
    </row>
    <row r="18" spans="1:7" x14ac:dyDescent="0.2">
      <c r="A18" s="11">
        <v>16</v>
      </c>
      <c r="B18" t="s">
        <v>52</v>
      </c>
      <c r="C18" t="s">
        <v>53</v>
      </c>
      <c r="D18" t="s">
        <v>59</v>
      </c>
      <c r="E18" t="s">
        <v>52</v>
      </c>
      <c r="F18" t="s">
        <v>52</v>
      </c>
      <c r="G18" t="s">
        <v>52</v>
      </c>
    </row>
    <row r="19" spans="1:7" x14ac:dyDescent="0.2">
      <c r="A19" s="11">
        <v>17</v>
      </c>
      <c r="B19" t="s">
        <v>52</v>
      </c>
      <c r="C19" t="s">
        <v>59</v>
      </c>
      <c r="D19" t="s">
        <v>52</v>
      </c>
      <c r="E19" t="s">
        <v>52</v>
      </c>
      <c r="F19" t="s">
        <v>52</v>
      </c>
      <c r="G19" t="s">
        <v>52</v>
      </c>
    </row>
    <row r="20" spans="1:7" x14ac:dyDescent="0.2">
      <c r="A20" s="11">
        <v>18</v>
      </c>
      <c r="B20" t="s">
        <v>52</v>
      </c>
      <c r="C20" t="s">
        <v>53</v>
      </c>
      <c r="D20" t="s">
        <v>53</v>
      </c>
      <c r="E20" t="s">
        <v>52</v>
      </c>
      <c r="F20" t="s">
        <v>52</v>
      </c>
      <c r="G20" t="s">
        <v>59</v>
      </c>
    </row>
    <row r="22" spans="1:7" x14ac:dyDescent="0.2">
      <c r="A22" s="9" t="s">
        <v>61</v>
      </c>
      <c r="B22" s="4" t="s">
        <v>46</v>
      </c>
      <c r="C22" s="4" t="s">
        <v>47</v>
      </c>
      <c r="D22" s="4" t="s">
        <v>48</v>
      </c>
      <c r="E22" s="4" t="s">
        <v>49</v>
      </c>
      <c r="F22" s="4" t="s">
        <v>50</v>
      </c>
      <c r="G22" s="4" t="s">
        <v>51</v>
      </c>
    </row>
    <row r="23" spans="1:7" x14ac:dyDescent="0.2">
      <c r="A23" s="11">
        <v>1</v>
      </c>
      <c r="B23" t="s">
        <v>53</v>
      </c>
      <c r="C23" t="s">
        <v>53</v>
      </c>
      <c r="D23" t="s">
        <v>52</v>
      </c>
      <c r="E23" t="s">
        <v>52</v>
      </c>
      <c r="F23" t="s">
        <v>52</v>
      </c>
      <c r="G23" t="s">
        <v>52</v>
      </c>
    </row>
    <row r="24" spans="1:7" x14ac:dyDescent="0.2">
      <c r="A24" s="11">
        <v>2</v>
      </c>
      <c r="B24" t="s">
        <v>53</v>
      </c>
      <c r="C24" t="s">
        <v>53</v>
      </c>
      <c r="D24" t="s">
        <v>52</v>
      </c>
      <c r="E24" t="s">
        <v>52</v>
      </c>
      <c r="F24" t="s">
        <v>52</v>
      </c>
      <c r="G24" t="s">
        <v>59</v>
      </c>
    </row>
    <row r="25" spans="1:7" x14ac:dyDescent="0.2">
      <c r="A25" s="11">
        <v>3</v>
      </c>
      <c r="B25" t="s">
        <v>53</v>
      </c>
      <c r="C25" t="s">
        <v>53</v>
      </c>
      <c r="D25" t="s">
        <v>59</v>
      </c>
      <c r="E25" t="s">
        <v>52</v>
      </c>
      <c r="F25" t="s">
        <v>52</v>
      </c>
      <c r="G25" t="s">
        <v>52</v>
      </c>
    </row>
    <row r="26" spans="1:7" x14ac:dyDescent="0.2">
      <c r="A26" s="11">
        <v>4</v>
      </c>
      <c r="B26" t="s">
        <v>53</v>
      </c>
      <c r="C26" t="s">
        <v>53</v>
      </c>
      <c r="D26" t="s">
        <v>53</v>
      </c>
      <c r="E26" t="s">
        <v>52</v>
      </c>
      <c r="F26" t="s">
        <v>52</v>
      </c>
      <c r="G26" t="s">
        <v>59</v>
      </c>
    </row>
    <row r="27" spans="1:7" x14ac:dyDescent="0.2">
      <c r="A27" s="11">
        <v>5</v>
      </c>
      <c r="B27" t="s">
        <v>53</v>
      </c>
      <c r="C27" t="s">
        <v>59</v>
      </c>
      <c r="D27" t="s">
        <v>52</v>
      </c>
      <c r="E27" t="s">
        <v>52</v>
      </c>
      <c r="F27" t="s">
        <v>52</v>
      </c>
      <c r="G27" t="s">
        <v>52</v>
      </c>
    </row>
    <row r="28" spans="1:7" x14ac:dyDescent="0.2">
      <c r="A28" s="11">
        <v>6</v>
      </c>
      <c r="B28" t="s">
        <v>53</v>
      </c>
      <c r="C28" t="s">
        <v>53</v>
      </c>
      <c r="D28" t="s">
        <v>52</v>
      </c>
      <c r="E28" t="s">
        <v>52</v>
      </c>
      <c r="F28" t="s">
        <v>52</v>
      </c>
      <c r="G28" t="s">
        <v>52</v>
      </c>
    </row>
    <row r="29" spans="1:7" x14ac:dyDescent="0.2">
      <c r="A29" s="11">
        <v>7</v>
      </c>
      <c r="B29" t="s">
        <v>53</v>
      </c>
      <c r="C29" t="s">
        <v>59</v>
      </c>
      <c r="D29" t="s">
        <v>59</v>
      </c>
      <c r="E29" t="s">
        <v>52</v>
      </c>
      <c r="F29" t="s">
        <v>52</v>
      </c>
      <c r="G29" t="s">
        <v>52</v>
      </c>
    </row>
    <row r="30" spans="1:7" x14ac:dyDescent="0.2">
      <c r="A30" s="11">
        <v>8</v>
      </c>
      <c r="B30" t="s">
        <v>53</v>
      </c>
      <c r="C30" t="s">
        <v>53</v>
      </c>
      <c r="D30" t="s">
        <v>53</v>
      </c>
      <c r="E30" t="s">
        <v>52</v>
      </c>
      <c r="F30" t="s">
        <v>52</v>
      </c>
      <c r="G30" t="s">
        <v>59</v>
      </c>
    </row>
    <row r="31" spans="1:7" x14ac:dyDescent="0.2">
      <c r="A31" s="11">
        <v>9</v>
      </c>
      <c r="B31" t="s">
        <v>53</v>
      </c>
      <c r="C31" t="s">
        <v>53</v>
      </c>
      <c r="D31" t="s">
        <v>52</v>
      </c>
      <c r="E31" t="s">
        <v>52</v>
      </c>
      <c r="F31" t="s">
        <v>52</v>
      </c>
      <c r="G31" t="s">
        <v>52</v>
      </c>
    </row>
    <row r="32" spans="1:7" x14ac:dyDescent="0.2">
      <c r="A32" s="11">
        <v>10</v>
      </c>
      <c r="B32" t="s">
        <v>53</v>
      </c>
      <c r="C32" t="s">
        <v>59</v>
      </c>
      <c r="D32" t="s">
        <v>52</v>
      </c>
      <c r="E32" t="s">
        <v>52</v>
      </c>
      <c r="F32" t="s">
        <v>52</v>
      </c>
      <c r="G32" t="s">
        <v>52</v>
      </c>
    </row>
    <row r="33" spans="1:8" x14ac:dyDescent="0.2">
      <c r="A33" s="11">
        <v>11</v>
      </c>
      <c r="B33" t="s">
        <v>53</v>
      </c>
      <c r="C33" t="s">
        <v>53</v>
      </c>
      <c r="D33" t="s">
        <v>59</v>
      </c>
      <c r="E33" t="s">
        <v>52</v>
      </c>
      <c r="F33" t="s">
        <v>52</v>
      </c>
      <c r="G33" t="s">
        <v>59</v>
      </c>
    </row>
    <row r="35" spans="1:8" x14ac:dyDescent="0.2">
      <c r="A35" s="9" t="s">
        <v>54</v>
      </c>
    </row>
    <row r="36" spans="1:8" x14ac:dyDescent="0.2">
      <c r="A36" s="4" t="s">
        <v>0</v>
      </c>
      <c r="B36" s="4" t="s">
        <v>46</v>
      </c>
      <c r="C36" s="4" t="s">
        <v>47</v>
      </c>
      <c r="D36" s="4" t="s">
        <v>48</v>
      </c>
      <c r="E36" s="4" t="s">
        <v>49</v>
      </c>
      <c r="F36" s="4" t="s">
        <v>50</v>
      </c>
      <c r="G36" s="4" t="s">
        <v>51</v>
      </c>
      <c r="H36" s="18" t="s">
        <v>87</v>
      </c>
    </row>
    <row r="37" spans="1:8" x14ac:dyDescent="0.2">
      <c r="A37" s="11">
        <v>1</v>
      </c>
      <c r="B37" t="s">
        <v>53</v>
      </c>
      <c r="C37" t="s">
        <v>53</v>
      </c>
      <c r="D37" t="s">
        <v>53</v>
      </c>
      <c r="E37" t="s">
        <v>53</v>
      </c>
      <c r="F37" t="s">
        <v>53</v>
      </c>
      <c r="G37" t="s">
        <v>52</v>
      </c>
      <c r="H37" s="13" t="s">
        <v>53</v>
      </c>
    </row>
    <row r="38" spans="1:8" x14ac:dyDescent="0.2">
      <c r="A38" s="11">
        <v>2</v>
      </c>
      <c r="B38" t="s">
        <v>53</v>
      </c>
      <c r="C38" t="s">
        <v>53</v>
      </c>
      <c r="D38" t="s">
        <v>53</v>
      </c>
      <c r="E38" t="s">
        <v>53</v>
      </c>
      <c r="F38" t="s">
        <v>53</v>
      </c>
      <c r="G38" t="s">
        <v>52</v>
      </c>
      <c r="H38" s="13" t="s">
        <v>53</v>
      </c>
    </row>
    <row r="42" spans="1:8" x14ac:dyDescent="0.2">
      <c r="A42" s="4" t="s">
        <v>14</v>
      </c>
      <c r="B42" s="4" t="s">
        <v>47</v>
      </c>
      <c r="C42" s="4" t="s">
        <v>48</v>
      </c>
      <c r="D42" s="4" t="s">
        <v>51</v>
      </c>
      <c r="E42" s="4" t="s">
        <v>56</v>
      </c>
      <c r="F42" s="4" t="s">
        <v>57</v>
      </c>
      <c r="G42" s="4" t="s">
        <v>58</v>
      </c>
    </row>
    <row r="43" spans="1:8" x14ac:dyDescent="0.2">
      <c r="A43" s="11">
        <v>1</v>
      </c>
      <c r="B43" t="s">
        <v>52</v>
      </c>
      <c r="C43" t="s">
        <v>52</v>
      </c>
      <c r="D43" t="s">
        <v>52</v>
      </c>
      <c r="E43" t="s">
        <v>52</v>
      </c>
      <c r="F43" t="s">
        <v>52</v>
      </c>
      <c r="G43" t="s">
        <v>52</v>
      </c>
    </row>
    <row r="44" spans="1:8" x14ac:dyDescent="0.2">
      <c r="A44" s="11">
        <v>2</v>
      </c>
      <c r="B44" t="s">
        <v>53</v>
      </c>
      <c r="C44" t="s">
        <v>59</v>
      </c>
      <c r="D44" t="s">
        <v>59</v>
      </c>
      <c r="E44" t="s">
        <v>52</v>
      </c>
      <c r="F44" t="s">
        <v>52</v>
      </c>
      <c r="G44" t="s">
        <v>52</v>
      </c>
    </row>
    <row r="45" spans="1:8" x14ac:dyDescent="0.2">
      <c r="A45" s="11">
        <v>3</v>
      </c>
      <c r="B45" t="s">
        <v>53</v>
      </c>
      <c r="C45" t="s">
        <v>53</v>
      </c>
      <c r="D45" t="s">
        <v>53</v>
      </c>
      <c r="E45" t="s">
        <v>52</v>
      </c>
      <c r="F45" t="s">
        <v>52</v>
      </c>
      <c r="G45" t="s">
        <v>52</v>
      </c>
    </row>
    <row r="46" spans="1:8" x14ac:dyDescent="0.2">
      <c r="A46" s="11">
        <v>4</v>
      </c>
      <c r="B46" t="s">
        <v>59</v>
      </c>
      <c r="C46" t="s">
        <v>53</v>
      </c>
      <c r="D46" t="s">
        <v>59</v>
      </c>
      <c r="E46" t="s">
        <v>52</v>
      </c>
      <c r="F46" t="s">
        <v>52</v>
      </c>
      <c r="G46" t="s">
        <v>52</v>
      </c>
    </row>
    <row r="47" spans="1:8" x14ac:dyDescent="0.2">
      <c r="A47" s="11">
        <v>5</v>
      </c>
      <c r="B47" t="s">
        <v>53</v>
      </c>
      <c r="C47" t="s">
        <v>59</v>
      </c>
      <c r="D47" t="s">
        <v>52</v>
      </c>
      <c r="E47" t="s">
        <v>52</v>
      </c>
      <c r="F47" t="s">
        <v>52</v>
      </c>
      <c r="G47" t="s">
        <v>52</v>
      </c>
    </row>
    <row r="48" spans="1:8" x14ac:dyDescent="0.2">
      <c r="A48" s="11">
        <v>6</v>
      </c>
      <c r="B48" t="s">
        <v>59</v>
      </c>
      <c r="C48" t="s">
        <v>52</v>
      </c>
      <c r="D48" t="s">
        <v>53</v>
      </c>
      <c r="E48" t="s">
        <v>52</v>
      </c>
      <c r="F48" t="s">
        <v>52</v>
      </c>
      <c r="G48" t="s">
        <v>52</v>
      </c>
    </row>
    <row r="49" spans="1:8" x14ac:dyDescent="0.2">
      <c r="A49" s="11">
        <v>7</v>
      </c>
      <c r="B49" t="s">
        <v>53</v>
      </c>
      <c r="C49" t="s">
        <v>53</v>
      </c>
      <c r="D49" t="s">
        <v>59</v>
      </c>
      <c r="E49" t="s">
        <v>52</v>
      </c>
      <c r="F49" t="s">
        <v>52</v>
      </c>
      <c r="G49" t="s">
        <v>52</v>
      </c>
    </row>
    <row r="51" spans="1:8" x14ac:dyDescent="0.2">
      <c r="A51" s="4" t="s">
        <v>60</v>
      </c>
      <c r="B51" s="4" t="s">
        <v>47</v>
      </c>
      <c r="C51" s="4" t="s">
        <v>48</v>
      </c>
      <c r="D51" s="4" t="s">
        <v>51</v>
      </c>
      <c r="E51" s="4" t="s">
        <v>56</v>
      </c>
      <c r="F51" s="4" t="s">
        <v>57</v>
      </c>
      <c r="G51" s="4" t="s">
        <v>58</v>
      </c>
    </row>
    <row r="52" spans="1:8" x14ac:dyDescent="0.2">
      <c r="A52" s="11">
        <v>1</v>
      </c>
      <c r="B52" t="s">
        <v>52</v>
      </c>
      <c r="C52" t="s">
        <v>52</v>
      </c>
      <c r="D52" t="s">
        <v>52</v>
      </c>
      <c r="E52" t="s">
        <v>52</v>
      </c>
      <c r="F52" t="s">
        <v>52</v>
      </c>
      <c r="G52" t="s">
        <v>52</v>
      </c>
    </row>
    <row r="53" spans="1:8" x14ac:dyDescent="0.2">
      <c r="A53" s="11">
        <v>2</v>
      </c>
      <c r="B53" t="s">
        <v>53</v>
      </c>
      <c r="C53" t="s">
        <v>53</v>
      </c>
      <c r="D53" t="s">
        <v>59</v>
      </c>
      <c r="E53" t="s">
        <v>52</v>
      </c>
      <c r="F53" t="s">
        <v>52</v>
      </c>
      <c r="G53" t="s">
        <v>52</v>
      </c>
    </row>
    <row r="54" spans="1:8" x14ac:dyDescent="0.2">
      <c r="A54" s="11">
        <v>3</v>
      </c>
      <c r="B54" t="s">
        <v>53</v>
      </c>
      <c r="C54" t="s">
        <v>53</v>
      </c>
      <c r="D54" t="s">
        <v>52</v>
      </c>
      <c r="E54" t="s">
        <v>52</v>
      </c>
      <c r="F54" t="s">
        <v>52</v>
      </c>
      <c r="G54" t="s">
        <v>52</v>
      </c>
    </row>
    <row r="55" spans="1:8" x14ac:dyDescent="0.2">
      <c r="A55" s="11">
        <v>4</v>
      </c>
      <c r="B55" t="s">
        <v>53</v>
      </c>
      <c r="C55" t="s">
        <v>59</v>
      </c>
      <c r="D55" t="s">
        <v>59</v>
      </c>
      <c r="E55" t="s">
        <v>52</v>
      </c>
      <c r="F55" t="s">
        <v>52</v>
      </c>
      <c r="G55" t="s">
        <v>52</v>
      </c>
    </row>
    <row r="56" spans="1:8" x14ac:dyDescent="0.2">
      <c r="A56" s="11">
        <v>5</v>
      </c>
      <c r="B56" t="s">
        <v>53</v>
      </c>
      <c r="C56" t="s">
        <v>53</v>
      </c>
      <c r="D56" t="s">
        <v>52</v>
      </c>
      <c r="E56" t="s">
        <v>52</v>
      </c>
      <c r="F56" t="s">
        <v>52</v>
      </c>
      <c r="G56" t="s">
        <v>52</v>
      </c>
    </row>
    <row r="57" spans="1:8" x14ac:dyDescent="0.2">
      <c r="A57" s="11">
        <v>6</v>
      </c>
      <c r="B57" t="s">
        <v>59</v>
      </c>
      <c r="C57" t="s">
        <v>59</v>
      </c>
      <c r="D57" t="s">
        <v>59</v>
      </c>
      <c r="E57" t="s">
        <v>52</v>
      </c>
      <c r="F57" t="s">
        <v>52</v>
      </c>
      <c r="G57" t="s">
        <v>52</v>
      </c>
    </row>
    <row r="58" spans="1:8" x14ac:dyDescent="0.2">
      <c r="A58" s="11">
        <v>7</v>
      </c>
      <c r="B58" t="s">
        <v>53</v>
      </c>
      <c r="C58" t="s">
        <v>53</v>
      </c>
      <c r="D58" t="s">
        <v>53</v>
      </c>
      <c r="E58" t="s">
        <v>52</v>
      </c>
      <c r="F58" t="s">
        <v>52</v>
      </c>
      <c r="G58" s="10" t="s">
        <v>59</v>
      </c>
    </row>
    <row r="59" spans="1:8" x14ac:dyDescent="0.2">
      <c r="A59" s="11">
        <v>8</v>
      </c>
      <c r="B59" t="s">
        <v>59</v>
      </c>
      <c r="C59" t="s">
        <v>52</v>
      </c>
      <c r="D59" t="s">
        <v>52</v>
      </c>
      <c r="E59" t="s">
        <v>52</v>
      </c>
      <c r="F59" t="s">
        <v>52</v>
      </c>
      <c r="G59" t="s">
        <v>52</v>
      </c>
    </row>
    <row r="61" spans="1:8" x14ac:dyDescent="0.2">
      <c r="A61" s="4" t="s">
        <v>4</v>
      </c>
      <c r="B61" s="4" t="s">
        <v>64</v>
      </c>
      <c r="C61" s="4" t="s">
        <v>65</v>
      </c>
      <c r="D61" s="4" t="s">
        <v>57</v>
      </c>
      <c r="E61" s="4" t="s">
        <v>66</v>
      </c>
      <c r="F61" s="4" t="s">
        <v>56</v>
      </c>
      <c r="G61" s="4" t="s">
        <v>58</v>
      </c>
      <c r="H61" s="17" t="s">
        <v>88</v>
      </c>
    </row>
    <row r="62" spans="1:8" x14ac:dyDescent="0.2">
      <c r="A62" s="11">
        <v>1</v>
      </c>
      <c r="B62" t="s">
        <v>52</v>
      </c>
      <c r="C62" t="s">
        <v>52</v>
      </c>
      <c r="D62" t="s">
        <v>52</v>
      </c>
      <c r="E62" t="s">
        <v>52</v>
      </c>
      <c r="F62" t="s">
        <v>53</v>
      </c>
      <c r="G62" t="s">
        <v>53</v>
      </c>
      <c r="H62" s="13" t="s">
        <v>95</v>
      </c>
    </row>
    <row r="63" spans="1:8" x14ac:dyDescent="0.2">
      <c r="A63" s="11">
        <v>2</v>
      </c>
      <c r="B63" t="s">
        <v>53</v>
      </c>
      <c r="C63" t="s">
        <v>52</v>
      </c>
      <c r="D63" t="s">
        <v>52</v>
      </c>
      <c r="E63" t="s">
        <v>52</v>
      </c>
      <c r="F63" t="s">
        <v>53</v>
      </c>
      <c r="G63" t="s">
        <v>53</v>
      </c>
      <c r="H63" s="13" t="s">
        <v>95</v>
      </c>
    </row>
    <row r="64" spans="1:8" x14ac:dyDescent="0.2">
      <c r="A64" s="11">
        <v>3</v>
      </c>
      <c r="B64" t="s">
        <v>53</v>
      </c>
      <c r="C64" t="s">
        <v>53</v>
      </c>
      <c r="D64" t="s">
        <v>52</v>
      </c>
      <c r="E64" t="s">
        <v>52</v>
      </c>
      <c r="F64" t="s">
        <v>53</v>
      </c>
      <c r="G64" t="s">
        <v>53</v>
      </c>
      <c r="H64" s="13" t="s">
        <v>90</v>
      </c>
    </row>
    <row r="65" spans="1:8" x14ac:dyDescent="0.2">
      <c r="A65" s="11">
        <v>4</v>
      </c>
      <c r="B65" t="s">
        <v>52</v>
      </c>
      <c r="C65" t="s">
        <v>52</v>
      </c>
      <c r="D65" t="s">
        <v>53</v>
      </c>
      <c r="E65" t="s">
        <v>52</v>
      </c>
      <c r="F65" t="s">
        <v>53</v>
      </c>
      <c r="G65" t="s">
        <v>53</v>
      </c>
      <c r="H65" s="13" t="s">
        <v>95</v>
      </c>
    </row>
    <row r="66" spans="1:8" x14ac:dyDescent="0.2">
      <c r="A66" s="11">
        <v>5</v>
      </c>
      <c r="B66" t="s">
        <v>53</v>
      </c>
      <c r="C66" t="s">
        <v>53</v>
      </c>
      <c r="D66" t="s">
        <v>53</v>
      </c>
      <c r="E66" t="s">
        <v>52</v>
      </c>
      <c r="F66" t="s">
        <v>53</v>
      </c>
      <c r="G66" t="s">
        <v>53</v>
      </c>
    </row>
    <row r="67" spans="1:8" x14ac:dyDescent="0.2">
      <c r="A67" s="11">
        <v>6</v>
      </c>
      <c r="B67" t="s">
        <v>52</v>
      </c>
      <c r="C67" t="s">
        <v>53</v>
      </c>
      <c r="D67" t="s">
        <v>52</v>
      </c>
      <c r="E67" t="s">
        <v>53</v>
      </c>
      <c r="F67" t="s">
        <v>53</v>
      </c>
      <c r="G67" t="s">
        <v>53</v>
      </c>
    </row>
    <row r="73" spans="1:8" x14ac:dyDescent="0.2">
      <c r="F73" t="s">
        <v>63</v>
      </c>
    </row>
  </sheetData>
  <pageMargins left="0.7" right="0.7" top="0.75" bottom="0.75" header="0.3" footer="0.3"/>
  <pageSetup paperSize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3"/>
  <sheetViews>
    <sheetView tabSelected="1" zoomScale="124" zoomScaleNormal="124" workbookViewId="0">
      <selection activeCell="M34" sqref="M34"/>
    </sheetView>
  </sheetViews>
  <sheetFormatPr baseColWidth="10" defaultColWidth="9.1640625" defaultRowHeight="15" x14ac:dyDescent="0.2"/>
  <cols>
    <col min="1" max="1" width="13.5" style="13" bestFit="1" customWidth="1"/>
    <col min="2" max="2" width="17.6640625" style="13" bestFit="1" customWidth="1"/>
    <col min="3" max="4" width="14" style="13" bestFit="1" customWidth="1"/>
    <col min="5" max="7" width="11.5" style="13" bestFit="1" customWidth="1"/>
    <col min="8" max="8" width="12" style="13" bestFit="1" customWidth="1"/>
    <col min="9" max="9" width="15.1640625" style="13" customWidth="1"/>
    <col min="10" max="16384" width="9.1640625" style="13"/>
  </cols>
  <sheetData>
    <row r="1" spans="1:7" x14ac:dyDescent="0.2">
      <c r="A1" s="12" t="s">
        <v>55</v>
      </c>
    </row>
    <row r="2" spans="1:7" x14ac:dyDescent="0.2">
      <c r="A2" s="14" t="s">
        <v>0</v>
      </c>
      <c r="B2" s="14" t="s">
        <v>46</v>
      </c>
      <c r="C2" s="14" t="s">
        <v>47</v>
      </c>
      <c r="D2" s="14" t="s">
        <v>48</v>
      </c>
      <c r="E2" s="14" t="s">
        <v>49</v>
      </c>
      <c r="F2" s="14" t="s">
        <v>50</v>
      </c>
      <c r="G2" s="14" t="s">
        <v>51</v>
      </c>
    </row>
    <row r="3" spans="1:7" x14ac:dyDescent="0.2">
      <c r="A3" s="15">
        <v>1</v>
      </c>
      <c r="B3" s="13">
        <v>0.125</v>
      </c>
      <c r="C3" s="13" t="s">
        <v>90</v>
      </c>
      <c r="D3" s="13" t="s">
        <v>80</v>
      </c>
      <c r="E3" s="13" t="s">
        <v>67</v>
      </c>
      <c r="F3" s="13" t="s">
        <v>52</v>
      </c>
      <c r="G3" s="13" t="s">
        <v>67</v>
      </c>
    </row>
    <row r="4" spans="1:7" x14ac:dyDescent="0.2">
      <c r="A4" s="15">
        <v>2</v>
      </c>
      <c r="B4" s="13">
        <v>0.125</v>
      </c>
      <c r="C4" s="13" t="s">
        <v>53</v>
      </c>
      <c r="D4" s="13" t="s">
        <v>81</v>
      </c>
      <c r="E4" s="13" t="s">
        <v>80</v>
      </c>
      <c r="F4" s="13" t="s">
        <v>52</v>
      </c>
      <c r="G4" s="13" t="s">
        <v>67</v>
      </c>
    </row>
    <row r="5" spans="1:7" x14ac:dyDescent="0.2">
      <c r="A5" s="15">
        <v>3</v>
      </c>
      <c r="B5" s="13">
        <v>0.125</v>
      </c>
      <c r="C5" s="13" t="s">
        <v>59</v>
      </c>
      <c r="D5" s="13" t="s">
        <v>80</v>
      </c>
      <c r="E5" s="13" t="s">
        <v>67</v>
      </c>
      <c r="F5" s="13" t="s">
        <v>52</v>
      </c>
      <c r="G5" s="13" t="s">
        <v>93</v>
      </c>
    </row>
    <row r="6" spans="1:7" x14ac:dyDescent="0.2">
      <c r="A6" s="15">
        <v>4</v>
      </c>
      <c r="B6" s="13">
        <v>0.125</v>
      </c>
      <c r="C6" s="13" t="s">
        <v>53</v>
      </c>
      <c r="D6" s="13" t="s">
        <v>99</v>
      </c>
      <c r="E6" s="13" t="s">
        <v>67</v>
      </c>
      <c r="F6" s="13" t="s">
        <v>52</v>
      </c>
      <c r="G6" s="13" t="s">
        <v>67</v>
      </c>
    </row>
    <row r="7" spans="1:7" x14ac:dyDescent="0.2">
      <c r="A7" s="15">
        <v>5</v>
      </c>
      <c r="B7" s="13">
        <v>0.125</v>
      </c>
      <c r="C7" s="13" t="s">
        <v>83</v>
      </c>
      <c r="D7" s="13" t="s">
        <v>80</v>
      </c>
      <c r="E7" s="13" t="s">
        <v>67</v>
      </c>
      <c r="F7" s="13" t="s">
        <v>80</v>
      </c>
      <c r="G7" s="13" t="s">
        <v>67</v>
      </c>
    </row>
    <row r="8" spans="1:7" x14ac:dyDescent="0.2">
      <c r="A8" s="15">
        <v>6</v>
      </c>
      <c r="B8" s="13">
        <v>0.125</v>
      </c>
      <c r="C8" s="13" t="s">
        <v>79</v>
      </c>
      <c r="D8" s="13" t="s">
        <v>80</v>
      </c>
      <c r="E8" s="13" t="s">
        <v>67</v>
      </c>
      <c r="F8" s="13" t="s">
        <v>77</v>
      </c>
      <c r="G8" s="13" t="s">
        <v>80</v>
      </c>
    </row>
    <row r="9" spans="1:7" x14ac:dyDescent="0.2">
      <c r="A9" s="15">
        <v>7</v>
      </c>
      <c r="B9" s="13">
        <v>0.125</v>
      </c>
      <c r="C9" s="13" t="s">
        <v>85</v>
      </c>
      <c r="D9" s="13" t="s">
        <v>81</v>
      </c>
      <c r="E9" s="13" t="s">
        <v>67</v>
      </c>
      <c r="F9" s="13" t="s">
        <v>92</v>
      </c>
      <c r="G9" s="13" t="s">
        <v>67</v>
      </c>
    </row>
    <row r="10" spans="1:7" x14ac:dyDescent="0.2">
      <c r="A10" s="15">
        <v>8</v>
      </c>
      <c r="B10" s="13">
        <v>0.125</v>
      </c>
      <c r="C10" s="13" t="s">
        <v>82</v>
      </c>
      <c r="D10" s="13" t="s">
        <v>80</v>
      </c>
      <c r="E10" s="13" t="s">
        <v>67</v>
      </c>
      <c r="F10" s="13" t="s">
        <v>76</v>
      </c>
      <c r="G10" s="13" t="s">
        <v>93</v>
      </c>
    </row>
    <row r="11" spans="1:7" x14ac:dyDescent="0.2">
      <c r="A11" s="15">
        <v>9</v>
      </c>
      <c r="B11" s="13">
        <v>0.125</v>
      </c>
      <c r="C11" s="13" t="s">
        <v>59</v>
      </c>
      <c r="D11" s="13" t="s">
        <v>80</v>
      </c>
      <c r="E11" s="13" t="s">
        <v>67</v>
      </c>
      <c r="F11" s="13" t="s">
        <v>52</v>
      </c>
      <c r="G11" s="13" t="s">
        <v>67</v>
      </c>
    </row>
    <row r="12" spans="1:7" x14ac:dyDescent="0.2">
      <c r="A12" s="15">
        <v>10</v>
      </c>
      <c r="B12" s="13">
        <v>0.125</v>
      </c>
      <c r="C12" s="13" t="s">
        <v>53</v>
      </c>
      <c r="D12" s="13" t="s">
        <v>81</v>
      </c>
      <c r="E12" s="13" t="s">
        <v>67</v>
      </c>
      <c r="F12" s="13" t="s">
        <v>52</v>
      </c>
      <c r="G12" s="13" t="s">
        <v>67</v>
      </c>
    </row>
    <row r="13" spans="1:7" x14ac:dyDescent="0.2">
      <c r="A13" s="15">
        <v>11</v>
      </c>
      <c r="B13" s="13">
        <v>0.06</v>
      </c>
      <c r="C13" s="13" t="s">
        <v>59</v>
      </c>
      <c r="D13" s="13" t="s">
        <v>80</v>
      </c>
      <c r="E13" s="13" t="s">
        <v>67</v>
      </c>
      <c r="F13" s="13" t="s">
        <v>52</v>
      </c>
      <c r="G13" s="13" t="s">
        <v>67</v>
      </c>
    </row>
    <row r="14" spans="1:7" x14ac:dyDescent="0.2">
      <c r="A14" s="15">
        <v>12</v>
      </c>
      <c r="B14" s="13">
        <v>0.125</v>
      </c>
      <c r="C14" s="13" t="s">
        <v>53</v>
      </c>
      <c r="D14" s="13" t="s">
        <v>99</v>
      </c>
      <c r="E14" s="13" t="s">
        <v>67</v>
      </c>
      <c r="F14" s="13" t="s">
        <v>52</v>
      </c>
      <c r="G14" s="13" t="s">
        <v>93</v>
      </c>
    </row>
    <row r="15" spans="1:7" x14ac:dyDescent="0.2">
      <c r="A15" s="15">
        <v>13</v>
      </c>
      <c r="B15" s="13">
        <v>0.125</v>
      </c>
      <c r="C15" s="13" t="s">
        <v>59</v>
      </c>
      <c r="D15" s="13" t="s">
        <v>81</v>
      </c>
      <c r="E15" s="13" t="s">
        <v>80</v>
      </c>
      <c r="F15" s="13" t="s">
        <v>52</v>
      </c>
      <c r="G15" s="13" t="s">
        <v>67</v>
      </c>
    </row>
    <row r="16" spans="1:7" x14ac:dyDescent="0.2">
      <c r="A16" s="15">
        <v>14</v>
      </c>
      <c r="B16" s="13">
        <v>0.125</v>
      </c>
      <c r="C16" s="13" t="s">
        <v>53</v>
      </c>
      <c r="D16" s="13" t="s">
        <v>80</v>
      </c>
      <c r="E16" s="13" t="s">
        <v>67</v>
      </c>
      <c r="F16" s="13" t="s">
        <v>52</v>
      </c>
      <c r="G16" s="13" t="s">
        <v>67</v>
      </c>
    </row>
    <row r="17" spans="1:9" x14ac:dyDescent="0.2">
      <c r="A17" s="15">
        <v>15</v>
      </c>
      <c r="B17" s="13">
        <v>0.125</v>
      </c>
      <c r="C17" s="13" t="s">
        <v>59</v>
      </c>
      <c r="D17" s="13" t="s">
        <v>80</v>
      </c>
      <c r="E17" s="13" t="s">
        <v>67</v>
      </c>
      <c r="F17" s="13" t="s">
        <v>52</v>
      </c>
      <c r="G17" s="13" t="s">
        <v>93</v>
      </c>
    </row>
    <row r="18" spans="1:9" x14ac:dyDescent="0.2">
      <c r="A18" s="15">
        <v>16</v>
      </c>
      <c r="B18" s="13">
        <v>0.125</v>
      </c>
      <c r="C18" s="13" t="s">
        <v>53</v>
      </c>
      <c r="D18" s="13" t="s">
        <v>81</v>
      </c>
      <c r="E18" s="13" t="s">
        <v>67</v>
      </c>
      <c r="F18" s="13" t="s">
        <v>52</v>
      </c>
      <c r="G18" s="13" t="s">
        <v>67</v>
      </c>
    </row>
    <row r="19" spans="1:9" x14ac:dyDescent="0.2">
      <c r="A19" s="15">
        <v>17</v>
      </c>
      <c r="B19" s="13">
        <v>0.125</v>
      </c>
      <c r="C19" s="13" t="s">
        <v>59</v>
      </c>
      <c r="D19" s="13" t="s">
        <v>80</v>
      </c>
      <c r="E19" s="13" t="s">
        <v>80</v>
      </c>
      <c r="F19" s="13" t="s">
        <v>52</v>
      </c>
      <c r="G19" s="13" t="s">
        <v>67</v>
      </c>
    </row>
    <row r="20" spans="1:9" x14ac:dyDescent="0.2">
      <c r="A20" s="15">
        <v>18</v>
      </c>
      <c r="B20" s="13">
        <v>0.125</v>
      </c>
      <c r="C20" s="13" t="s">
        <v>53</v>
      </c>
      <c r="D20" s="13" t="s">
        <v>99</v>
      </c>
      <c r="E20" s="13" t="s">
        <v>67</v>
      </c>
      <c r="F20" s="13" t="s">
        <v>52</v>
      </c>
      <c r="G20" s="13" t="s">
        <v>93</v>
      </c>
    </row>
    <row r="22" spans="1:9" x14ac:dyDescent="0.2">
      <c r="A22" s="12" t="s">
        <v>61</v>
      </c>
      <c r="B22" s="14" t="s">
        <v>46</v>
      </c>
      <c r="C22" s="14" t="s">
        <v>47</v>
      </c>
      <c r="D22" s="14" t="s">
        <v>48</v>
      </c>
      <c r="E22" s="14" t="s">
        <v>49</v>
      </c>
      <c r="F22" s="14" t="s">
        <v>50</v>
      </c>
      <c r="G22" s="14" t="s">
        <v>51</v>
      </c>
      <c r="H22" s="14" t="s">
        <v>87</v>
      </c>
      <c r="I22" s="13" t="s">
        <v>101</v>
      </c>
    </row>
    <row r="23" spans="1:9" x14ac:dyDescent="0.2">
      <c r="A23" s="15">
        <v>1</v>
      </c>
      <c r="B23" s="13" t="s">
        <v>53</v>
      </c>
      <c r="C23" s="13" t="s">
        <v>53</v>
      </c>
      <c r="D23" s="13" t="s">
        <v>77</v>
      </c>
      <c r="E23" s="13" t="s">
        <v>67</v>
      </c>
      <c r="F23" s="13" t="s">
        <v>67</v>
      </c>
      <c r="G23" s="13" t="s">
        <v>80</v>
      </c>
      <c r="H23" s="13" t="s">
        <v>53</v>
      </c>
      <c r="I23" s="13" t="s">
        <v>68</v>
      </c>
    </row>
    <row r="24" spans="1:9" x14ac:dyDescent="0.2">
      <c r="A24" s="15">
        <v>2</v>
      </c>
      <c r="B24" s="13" t="s">
        <v>53</v>
      </c>
      <c r="C24" s="13" t="s">
        <v>53</v>
      </c>
      <c r="D24" s="13" t="s">
        <v>77</v>
      </c>
      <c r="E24" s="13" t="s">
        <v>67</v>
      </c>
      <c r="F24" s="13" t="s">
        <v>67</v>
      </c>
      <c r="G24" s="13" t="s">
        <v>98</v>
      </c>
      <c r="H24" s="13" t="s">
        <v>53</v>
      </c>
      <c r="I24" s="13" t="s">
        <v>68</v>
      </c>
    </row>
    <row r="25" spans="1:9" x14ac:dyDescent="0.2">
      <c r="A25" s="15">
        <v>3</v>
      </c>
      <c r="B25" s="13" t="s">
        <v>53</v>
      </c>
      <c r="C25" s="13" t="s">
        <v>53</v>
      </c>
      <c r="D25" s="13" t="s">
        <v>81</v>
      </c>
      <c r="E25" s="13" t="s">
        <v>68</v>
      </c>
      <c r="F25" s="13" t="s">
        <v>68</v>
      </c>
      <c r="G25" s="13" t="s">
        <v>77</v>
      </c>
      <c r="H25" s="13" t="s">
        <v>53</v>
      </c>
      <c r="I25" s="13" t="s">
        <v>68</v>
      </c>
    </row>
    <row r="26" spans="1:9" x14ac:dyDescent="0.2">
      <c r="A26" s="15">
        <v>4</v>
      </c>
      <c r="B26" s="13" t="s">
        <v>53</v>
      </c>
      <c r="C26" s="13" t="s">
        <v>53</v>
      </c>
      <c r="D26" s="13" t="s">
        <v>82</v>
      </c>
      <c r="E26" s="13" t="s">
        <v>67</v>
      </c>
      <c r="F26" s="13" t="s">
        <v>67</v>
      </c>
      <c r="G26" s="13" t="s">
        <v>98</v>
      </c>
      <c r="H26" s="13" t="s">
        <v>53</v>
      </c>
      <c r="I26" s="13" t="s">
        <v>102</v>
      </c>
    </row>
    <row r="27" spans="1:9" x14ac:dyDescent="0.2">
      <c r="A27" s="15">
        <v>5</v>
      </c>
      <c r="B27" s="13" t="s">
        <v>53</v>
      </c>
      <c r="C27" s="13" t="s">
        <v>59</v>
      </c>
      <c r="D27" s="13" t="s">
        <v>77</v>
      </c>
      <c r="E27" s="13" t="s">
        <v>67</v>
      </c>
      <c r="F27" s="13" t="s">
        <v>67</v>
      </c>
      <c r="G27" s="13" t="s">
        <v>80</v>
      </c>
      <c r="H27" s="13" t="s">
        <v>53</v>
      </c>
      <c r="I27" s="13" t="s">
        <v>67</v>
      </c>
    </row>
    <row r="28" spans="1:9" x14ac:dyDescent="0.2">
      <c r="A28" s="15">
        <v>6</v>
      </c>
      <c r="B28" s="13" t="s">
        <v>53</v>
      </c>
      <c r="C28" s="13" t="s">
        <v>53</v>
      </c>
      <c r="D28" s="13" t="s">
        <v>77</v>
      </c>
      <c r="E28" s="13" t="s">
        <v>67</v>
      </c>
      <c r="F28" s="13" t="s">
        <v>68</v>
      </c>
      <c r="G28" s="13" t="s">
        <v>77</v>
      </c>
      <c r="H28" s="13" t="s">
        <v>53</v>
      </c>
      <c r="I28" s="13" t="s">
        <v>67</v>
      </c>
    </row>
    <row r="29" spans="1:9" x14ac:dyDescent="0.2">
      <c r="A29" s="15">
        <v>7</v>
      </c>
      <c r="B29" s="13" t="s">
        <v>53</v>
      </c>
      <c r="C29" s="13" t="s">
        <v>59</v>
      </c>
      <c r="D29" s="13" t="s">
        <v>81</v>
      </c>
      <c r="E29" s="13" t="s">
        <v>67</v>
      </c>
      <c r="F29" s="13" t="s">
        <v>67</v>
      </c>
      <c r="G29" s="13" t="s">
        <v>77</v>
      </c>
      <c r="H29" s="13" t="s">
        <v>53</v>
      </c>
      <c r="I29" s="13" t="s">
        <v>102</v>
      </c>
    </row>
    <row r="30" spans="1:9" x14ac:dyDescent="0.2">
      <c r="A30" s="15">
        <v>8</v>
      </c>
      <c r="B30" s="13" t="s">
        <v>53</v>
      </c>
      <c r="C30" s="13" t="s">
        <v>53</v>
      </c>
      <c r="D30" s="13" t="s">
        <v>78</v>
      </c>
      <c r="E30" s="13" t="s">
        <v>67</v>
      </c>
      <c r="F30" s="13" t="s">
        <v>67</v>
      </c>
      <c r="G30" s="13" t="s">
        <v>81</v>
      </c>
      <c r="H30" s="13" t="s">
        <v>53</v>
      </c>
      <c r="I30" s="13" t="s">
        <v>103</v>
      </c>
    </row>
    <row r="31" spans="1:9" x14ac:dyDescent="0.2">
      <c r="A31" s="15">
        <v>9</v>
      </c>
      <c r="B31" s="13" t="s">
        <v>53</v>
      </c>
      <c r="C31" s="13" t="s">
        <v>53</v>
      </c>
      <c r="D31" s="13" t="s">
        <v>77</v>
      </c>
      <c r="E31" s="13" t="s">
        <v>67</v>
      </c>
      <c r="F31" s="13" t="s">
        <v>67</v>
      </c>
      <c r="G31" s="13" t="s">
        <v>80</v>
      </c>
      <c r="H31" s="13" t="s">
        <v>53</v>
      </c>
      <c r="I31" s="13" t="s">
        <v>67</v>
      </c>
    </row>
    <row r="32" spans="1:9" x14ac:dyDescent="0.2">
      <c r="A32" s="15">
        <v>10</v>
      </c>
      <c r="B32" s="13" t="s">
        <v>53</v>
      </c>
      <c r="C32" s="13" t="s">
        <v>59</v>
      </c>
      <c r="D32" s="13" t="s">
        <v>77</v>
      </c>
      <c r="E32" s="13" t="s">
        <v>80</v>
      </c>
      <c r="F32" s="13" t="s">
        <v>67</v>
      </c>
      <c r="G32" s="13" t="s">
        <v>77</v>
      </c>
      <c r="H32" s="13" t="s">
        <v>53</v>
      </c>
      <c r="I32" s="13" t="s">
        <v>67</v>
      </c>
    </row>
    <row r="33" spans="1:9" x14ac:dyDescent="0.2">
      <c r="A33" s="15">
        <v>11</v>
      </c>
      <c r="B33" s="13" t="s">
        <v>53</v>
      </c>
      <c r="C33" s="13" t="s">
        <v>53</v>
      </c>
      <c r="D33" s="13" t="s">
        <v>81</v>
      </c>
      <c r="E33" s="13" t="s">
        <v>67</v>
      </c>
      <c r="F33" s="13" t="s">
        <v>67</v>
      </c>
      <c r="G33" s="13" t="s">
        <v>100</v>
      </c>
      <c r="H33" s="13" t="s">
        <v>53</v>
      </c>
      <c r="I33" s="13" t="s">
        <v>103</v>
      </c>
    </row>
    <row r="35" spans="1:9" x14ac:dyDescent="0.2">
      <c r="A35" s="12" t="s">
        <v>54</v>
      </c>
    </row>
    <row r="36" spans="1:9" x14ac:dyDescent="0.2">
      <c r="A36" s="14" t="s">
        <v>0</v>
      </c>
      <c r="B36" s="14" t="s">
        <v>46</v>
      </c>
      <c r="C36" s="14" t="s">
        <v>47</v>
      </c>
      <c r="D36" s="14" t="s">
        <v>48</v>
      </c>
      <c r="E36" s="14" t="s">
        <v>49</v>
      </c>
      <c r="F36" s="14" t="s">
        <v>50</v>
      </c>
      <c r="G36" s="14" t="s">
        <v>51</v>
      </c>
      <c r="H36" s="14" t="s">
        <v>87</v>
      </c>
    </row>
    <row r="37" spans="1:9" x14ac:dyDescent="0.2">
      <c r="A37" s="15">
        <v>1</v>
      </c>
      <c r="B37" s="13" t="s">
        <v>53</v>
      </c>
      <c r="C37" s="13" t="s">
        <v>53</v>
      </c>
      <c r="D37" s="13" t="s">
        <v>53</v>
      </c>
      <c r="E37" s="13" t="s">
        <v>53</v>
      </c>
      <c r="F37" s="13" t="s">
        <v>53</v>
      </c>
      <c r="G37" s="13" t="s">
        <v>67</v>
      </c>
      <c r="H37" s="13" t="s">
        <v>53</v>
      </c>
    </row>
    <row r="38" spans="1:9" x14ac:dyDescent="0.2">
      <c r="A38" s="15">
        <v>2</v>
      </c>
      <c r="B38" s="13" t="s">
        <v>53</v>
      </c>
      <c r="C38" s="13" t="s">
        <v>53</v>
      </c>
      <c r="D38" s="13" t="s">
        <v>53</v>
      </c>
      <c r="E38" s="13" t="s">
        <v>53</v>
      </c>
      <c r="F38" s="13" t="s">
        <v>53</v>
      </c>
      <c r="G38" s="13" t="s">
        <v>67</v>
      </c>
      <c r="H38" s="13" t="s">
        <v>53</v>
      </c>
    </row>
    <row r="42" spans="1:9" x14ac:dyDescent="0.2">
      <c r="A42" s="14" t="s">
        <v>14</v>
      </c>
      <c r="B42" s="14" t="s">
        <v>47</v>
      </c>
      <c r="C42" s="14" t="s">
        <v>48</v>
      </c>
      <c r="D42" s="14" t="s">
        <v>51</v>
      </c>
      <c r="E42" s="14" t="s">
        <v>56</v>
      </c>
      <c r="F42" s="14" t="s">
        <v>57</v>
      </c>
      <c r="G42" s="14" t="s">
        <v>58</v>
      </c>
      <c r="H42" s="13" t="s">
        <v>86</v>
      </c>
      <c r="I42" s="13" t="s">
        <v>88</v>
      </c>
    </row>
    <row r="43" spans="1:9" x14ac:dyDescent="0.2">
      <c r="A43" s="15">
        <v>1</v>
      </c>
      <c r="B43" s="13" t="s">
        <v>76</v>
      </c>
      <c r="C43" s="13" t="s">
        <v>76</v>
      </c>
      <c r="D43" s="13" t="s">
        <v>80</v>
      </c>
      <c r="E43" s="13" t="s">
        <v>68</v>
      </c>
      <c r="F43" s="13" t="s">
        <v>67</v>
      </c>
      <c r="G43" s="13" t="s">
        <v>80</v>
      </c>
      <c r="H43" s="13" t="s">
        <v>53</v>
      </c>
      <c r="I43" s="13" t="s">
        <v>104</v>
      </c>
    </row>
    <row r="44" spans="1:9" x14ac:dyDescent="0.2">
      <c r="A44" s="15">
        <v>2</v>
      </c>
      <c r="B44" s="13" t="s">
        <v>84</v>
      </c>
      <c r="C44" s="13" t="s">
        <v>83</v>
      </c>
      <c r="D44" s="13" t="s">
        <v>81</v>
      </c>
      <c r="E44" s="13" t="s">
        <v>96</v>
      </c>
      <c r="F44" s="13" t="s">
        <v>68</v>
      </c>
      <c r="G44" s="13" t="s">
        <v>77</v>
      </c>
      <c r="H44" s="13" t="s">
        <v>53</v>
      </c>
      <c r="I44" s="13" t="s">
        <v>104</v>
      </c>
    </row>
    <row r="45" spans="1:9" x14ac:dyDescent="0.2">
      <c r="A45" s="15">
        <v>3</v>
      </c>
      <c r="B45" s="13" t="s">
        <v>94</v>
      </c>
      <c r="C45" s="13" t="s">
        <v>84</v>
      </c>
      <c r="D45" s="13" t="s">
        <v>84</v>
      </c>
      <c r="E45" s="13" t="s">
        <v>96</v>
      </c>
      <c r="F45" s="13" t="s">
        <v>67</v>
      </c>
      <c r="G45" s="13" t="s">
        <v>77</v>
      </c>
      <c r="H45" s="13" t="s">
        <v>53</v>
      </c>
      <c r="I45" s="13" t="s">
        <v>104</v>
      </c>
    </row>
    <row r="46" spans="1:9" x14ac:dyDescent="0.2">
      <c r="A46" s="15">
        <v>4</v>
      </c>
      <c r="B46" s="13" t="s">
        <v>89</v>
      </c>
      <c r="C46" s="13" t="s">
        <v>84</v>
      </c>
      <c r="D46" s="13" t="s">
        <v>89</v>
      </c>
      <c r="E46" s="13" t="s">
        <v>97</v>
      </c>
      <c r="F46" s="13" t="s">
        <v>67</v>
      </c>
      <c r="G46" s="13" t="s">
        <v>76</v>
      </c>
      <c r="H46" s="13" t="s">
        <v>53</v>
      </c>
      <c r="I46" s="13" t="s">
        <v>96</v>
      </c>
    </row>
    <row r="47" spans="1:9" x14ac:dyDescent="0.2">
      <c r="A47" s="15">
        <v>5</v>
      </c>
      <c r="B47" s="13" t="s">
        <v>53</v>
      </c>
      <c r="C47" s="13" t="s">
        <v>83</v>
      </c>
      <c r="D47" s="13" t="s">
        <v>80</v>
      </c>
      <c r="E47" s="13" t="s">
        <v>97</v>
      </c>
      <c r="F47" s="13" t="s">
        <v>67</v>
      </c>
      <c r="G47" s="13" t="s">
        <v>77</v>
      </c>
      <c r="H47" s="13" t="s">
        <v>53</v>
      </c>
      <c r="I47" s="13" t="s">
        <v>96</v>
      </c>
    </row>
    <row r="48" spans="1:9" x14ac:dyDescent="0.2">
      <c r="A48" s="15">
        <v>6</v>
      </c>
      <c r="B48" s="13" t="s">
        <v>89</v>
      </c>
      <c r="C48" s="13" t="s">
        <v>76</v>
      </c>
      <c r="D48" s="13" t="s">
        <v>84</v>
      </c>
      <c r="E48" s="13" t="s">
        <v>96</v>
      </c>
      <c r="F48" s="13" t="s">
        <v>67</v>
      </c>
      <c r="G48" s="13" t="s">
        <v>77</v>
      </c>
      <c r="H48" s="13" t="s">
        <v>53</v>
      </c>
      <c r="I48" s="13" t="s">
        <v>102</v>
      </c>
    </row>
    <row r="49" spans="1:9" x14ac:dyDescent="0.2">
      <c r="A49" s="15">
        <v>7</v>
      </c>
      <c r="B49" s="13" t="s">
        <v>53</v>
      </c>
      <c r="C49" s="13" t="s">
        <v>84</v>
      </c>
      <c r="D49" s="13" t="s">
        <v>81</v>
      </c>
      <c r="E49" s="13" t="s">
        <v>96</v>
      </c>
      <c r="F49" s="13" t="s">
        <v>67</v>
      </c>
      <c r="G49" s="13" t="s">
        <v>77</v>
      </c>
      <c r="H49" s="13" t="s">
        <v>53</v>
      </c>
      <c r="I49" s="13" t="s">
        <v>96</v>
      </c>
    </row>
    <row r="51" spans="1:9" x14ac:dyDescent="0.2">
      <c r="A51" s="14" t="s">
        <v>60</v>
      </c>
      <c r="B51" s="14" t="s">
        <v>47</v>
      </c>
      <c r="C51" s="14" t="s">
        <v>48</v>
      </c>
      <c r="D51" s="14" t="s">
        <v>51</v>
      </c>
      <c r="E51" s="14" t="s">
        <v>56</v>
      </c>
      <c r="F51" s="14" t="s">
        <v>57</v>
      </c>
      <c r="G51" s="14" t="s">
        <v>58</v>
      </c>
      <c r="H51" s="19" t="s">
        <v>86</v>
      </c>
      <c r="I51" s="13" t="s">
        <v>88</v>
      </c>
    </row>
    <row r="52" spans="1:9" x14ac:dyDescent="0.2">
      <c r="A52" s="15">
        <v>1</v>
      </c>
      <c r="B52" s="13" t="s">
        <v>76</v>
      </c>
      <c r="C52" s="13" t="s">
        <v>77</v>
      </c>
      <c r="D52" s="13" t="s">
        <v>80</v>
      </c>
      <c r="E52" s="13" t="s">
        <v>80</v>
      </c>
      <c r="F52" s="13" t="s">
        <v>77</v>
      </c>
      <c r="G52" s="13" t="s">
        <v>77</v>
      </c>
      <c r="H52" s="13" t="s">
        <v>53</v>
      </c>
      <c r="I52" s="13" t="s">
        <v>67</v>
      </c>
    </row>
    <row r="53" spans="1:9" x14ac:dyDescent="0.2">
      <c r="A53" s="15">
        <v>2</v>
      </c>
      <c r="B53" s="13" t="s">
        <v>84</v>
      </c>
      <c r="C53" s="13" t="s">
        <v>82</v>
      </c>
      <c r="D53" s="13" t="s">
        <v>89</v>
      </c>
      <c r="E53" s="13" t="s">
        <v>77</v>
      </c>
      <c r="F53" s="13" t="s">
        <v>77</v>
      </c>
      <c r="G53" s="13" t="s">
        <v>76</v>
      </c>
      <c r="H53" s="13" t="s">
        <v>53</v>
      </c>
      <c r="I53" s="13" t="s">
        <v>67</v>
      </c>
    </row>
    <row r="54" spans="1:9" x14ac:dyDescent="0.2">
      <c r="A54" s="15">
        <v>3</v>
      </c>
      <c r="B54" s="13" t="s">
        <v>82</v>
      </c>
      <c r="C54" s="13" t="s">
        <v>84</v>
      </c>
      <c r="D54" s="13" t="s">
        <v>67</v>
      </c>
      <c r="E54" s="13" t="s">
        <v>77</v>
      </c>
      <c r="F54" s="13" t="s">
        <v>77</v>
      </c>
      <c r="G54" s="13" t="s">
        <v>77</v>
      </c>
      <c r="H54" s="13" t="s">
        <v>59</v>
      </c>
      <c r="I54" s="13" t="s">
        <v>67</v>
      </c>
    </row>
    <row r="55" spans="1:9" x14ac:dyDescent="0.2">
      <c r="A55" s="15">
        <v>4</v>
      </c>
      <c r="B55" s="13" t="s">
        <v>84</v>
      </c>
      <c r="C55" s="13" t="s">
        <v>85</v>
      </c>
      <c r="D55" s="13" t="s">
        <v>81</v>
      </c>
      <c r="E55" s="13" t="s">
        <v>76</v>
      </c>
      <c r="F55" s="13" t="s">
        <v>77</v>
      </c>
      <c r="G55" s="13" t="s">
        <v>77</v>
      </c>
      <c r="H55" s="13" t="s">
        <v>53</v>
      </c>
      <c r="I55" s="13" t="s">
        <v>102</v>
      </c>
    </row>
    <row r="56" spans="1:9" x14ac:dyDescent="0.2">
      <c r="A56" s="15">
        <v>5</v>
      </c>
      <c r="B56" s="13" t="s">
        <v>53</v>
      </c>
      <c r="C56" s="13" t="s">
        <v>82</v>
      </c>
      <c r="D56" s="13" t="s">
        <v>96</v>
      </c>
      <c r="E56" s="13" t="s">
        <v>77</v>
      </c>
      <c r="F56" s="13" t="s">
        <v>77</v>
      </c>
      <c r="G56" s="13" t="s">
        <v>77</v>
      </c>
      <c r="H56" s="13" t="s">
        <v>53</v>
      </c>
      <c r="I56" s="13" t="s">
        <v>67</v>
      </c>
    </row>
    <row r="57" spans="1:9" x14ac:dyDescent="0.2">
      <c r="A57" s="15">
        <v>6</v>
      </c>
      <c r="B57" s="13" t="s">
        <v>59</v>
      </c>
      <c r="C57" s="13" t="s">
        <v>85</v>
      </c>
      <c r="D57" s="13" t="s">
        <v>98</v>
      </c>
      <c r="E57" s="13" t="s">
        <v>80</v>
      </c>
      <c r="F57" s="13" t="s">
        <v>80</v>
      </c>
      <c r="G57" s="13" t="s">
        <v>77</v>
      </c>
      <c r="H57" s="13" t="s">
        <v>59</v>
      </c>
      <c r="I57" s="13" t="s">
        <v>67</v>
      </c>
    </row>
    <row r="58" spans="1:9" x14ac:dyDescent="0.2">
      <c r="A58" s="15">
        <v>7</v>
      </c>
      <c r="B58" s="13" t="s">
        <v>53</v>
      </c>
      <c r="C58" s="13" t="s">
        <v>84</v>
      </c>
      <c r="D58" s="13" t="s">
        <v>84</v>
      </c>
      <c r="E58" s="13" t="s">
        <v>77</v>
      </c>
      <c r="F58" s="13" t="s">
        <v>77</v>
      </c>
      <c r="G58" s="16" t="s">
        <v>98</v>
      </c>
      <c r="H58" s="13" t="s">
        <v>53</v>
      </c>
      <c r="I58" s="13" t="s">
        <v>67</v>
      </c>
    </row>
    <row r="59" spans="1:9" x14ac:dyDescent="0.2">
      <c r="A59" s="15">
        <v>8</v>
      </c>
      <c r="B59" s="13" t="s">
        <v>59</v>
      </c>
      <c r="C59" s="13" t="s">
        <v>77</v>
      </c>
      <c r="D59" s="13" t="s">
        <v>96</v>
      </c>
      <c r="E59" s="13" t="s">
        <v>77</v>
      </c>
      <c r="F59" s="13" t="s">
        <v>77</v>
      </c>
      <c r="G59" s="13" t="s">
        <v>77</v>
      </c>
      <c r="H59" s="13" t="s">
        <v>53</v>
      </c>
      <c r="I59" s="13" t="s">
        <v>67</v>
      </c>
    </row>
    <row r="61" spans="1:9" x14ac:dyDescent="0.2">
      <c r="A61" s="14" t="s">
        <v>4</v>
      </c>
      <c r="B61" s="14" t="s">
        <v>64</v>
      </c>
      <c r="C61" s="14" t="s">
        <v>65</v>
      </c>
      <c r="D61" s="14" t="s">
        <v>57</v>
      </c>
      <c r="E61" s="4" t="s">
        <v>66</v>
      </c>
      <c r="F61" s="14" t="s">
        <v>56</v>
      </c>
      <c r="G61" s="14" t="s">
        <v>58</v>
      </c>
      <c r="H61" s="14" t="s">
        <v>88</v>
      </c>
    </row>
    <row r="62" spans="1:9" x14ac:dyDescent="0.2">
      <c r="A62" s="15">
        <v>1</v>
      </c>
      <c r="B62" s="13" t="s">
        <v>52</v>
      </c>
      <c r="C62" s="13" t="s">
        <v>67</v>
      </c>
      <c r="D62" s="13" t="s">
        <v>77</v>
      </c>
      <c r="E62" s="13" t="s">
        <v>77</v>
      </c>
      <c r="F62" s="13" t="s">
        <v>78</v>
      </c>
      <c r="G62" s="13" t="s">
        <v>53</v>
      </c>
      <c r="H62" s="13" t="s">
        <v>78</v>
      </c>
    </row>
    <row r="63" spans="1:9" x14ac:dyDescent="0.2">
      <c r="A63" s="15">
        <v>2</v>
      </c>
      <c r="B63" s="13" t="s">
        <v>53</v>
      </c>
      <c r="C63" s="13" t="s">
        <v>80</v>
      </c>
      <c r="D63" s="13" t="s">
        <v>76</v>
      </c>
      <c r="E63" s="13" t="s">
        <v>77</v>
      </c>
      <c r="F63" s="13" t="s">
        <v>78</v>
      </c>
      <c r="G63" s="13" t="s">
        <v>53</v>
      </c>
      <c r="H63" s="13" t="s">
        <v>78</v>
      </c>
    </row>
    <row r="64" spans="1:9" x14ac:dyDescent="0.2">
      <c r="A64" s="15">
        <v>3</v>
      </c>
      <c r="B64" s="13" t="s">
        <v>53</v>
      </c>
      <c r="C64" s="13" t="s">
        <v>84</v>
      </c>
      <c r="D64" s="13" t="s">
        <v>77</v>
      </c>
      <c r="E64" s="13" t="s">
        <v>77</v>
      </c>
      <c r="F64" s="13" t="s">
        <v>78</v>
      </c>
      <c r="G64" s="13" t="s">
        <v>53</v>
      </c>
      <c r="H64" s="13" t="s">
        <v>89</v>
      </c>
    </row>
    <row r="65" spans="1:8" x14ac:dyDescent="0.2">
      <c r="A65" s="15">
        <v>4</v>
      </c>
      <c r="B65" s="13" t="s">
        <v>52</v>
      </c>
      <c r="C65" s="13" t="s">
        <v>77</v>
      </c>
      <c r="D65" s="13" t="s">
        <v>78</v>
      </c>
      <c r="E65" s="13" t="s">
        <v>91</v>
      </c>
      <c r="F65" s="13" t="s">
        <v>79</v>
      </c>
      <c r="G65" s="13" t="s">
        <v>53</v>
      </c>
      <c r="H65" s="13" t="s">
        <v>78</v>
      </c>
    </row>
    <row r="66" spans="1:8" x14ac:dyDescent="0.2">
      <c r="A66" s="15">
        <v>5</v>
      </c>
      <c r="B66" s="13" t="s">
        <v>53</v>
      </c>
      <c r="C66" s="13" t="s">
        <v>84</v>
      </c>
      <c r="D66" s="13" t="s">
        <v>78</v>
      </c>
      <c r="E66" s="13" t="s">
        <v>77</v>
      </c>
      <c r="F66" s="13" t="s">
        <v>78</v>
      </c>
      <c r="G66" s="13" t="s">
        <v>53</v>
      </c>
      <c r="H66" s="13" t="s">
        <v>78</v>
      </c>
    </row>
    <row r="67" spans="1:8" x14ac:dyDescent="0.2">
      <c r="A67" s="15">
        <v>6</v>
      </c>
      <c r="B67" s="13" t="s">
        <v>52</v>
      </c>
      <c r="C67" s="13" t="s">
        <v>84</v>
      </c>
      <c r="D67" s="13" t="s">
        <v>77</v>
      </c>
      <c r="E67" s="13" t="s">
        <v>78</v>
      </c>
      <c r="F67" s="13" t="s">
        <v>78</v>
      </c>
      <c r="G67" s="13" t="s">
        <v>53</v>
      </c>
      <c r="H67" s="13" t="s">
        <v>78</v>
      </c>
    </row>
    <row r="73" spans="1:8" x14ac:dyDescent="0.2">
      <c r="F73" s="13" t="s">
        <v>63</v>
      </c>
    </row>
  </sheetData>
  <pageMargins left="0.7" right="0.7" top="0.75" bottom="0.75" header="0.3" footer="0.3"/>
  <pageSetup paperSize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Z13"/>
  <sheetViews>
    <sheetView workbookViewId="0">
      <selection activeCell="B3" sqref="B3:T8"/>
    </sheetView>
  </sheetViews>
  <sheetFormatPr baseColWidth="10" defaultColWidth="8.83203125" defaultRowHeight="15" x14ac:dyDescent="0.2"/>
  <cols>
    <col min="2" max="2" width="11.5" customWidth="1"/>
    <col min="7" max="8" width="6" bestFit="1" customWidth="1"/>
    <col min="9" max="10" width="7" bestFit="1" customWidth="1"/>
    <col min="11" max="11" width="6" bestFit="1" customWidth="1"/>
    <col min="12" max="12" width="5" bestFit="1" customWidth="1"/>
    <col min="13" max="14" width="4" bestFit="1" customWidth="1"/>
    <col min="15" max="15" width="5" bestFit="1" customWidth="1"/>
    <col min="16" max="16" width="6" bestFit="1" customWidth="1"/>
    <col min="17" max="18" width="7" bestFit="1" customWidth="1"/>
    <col min="19" max="20" width="6" bestFit="1" customWidth="1"/>
    <col min="25" max="25" width="11.5" bestFit="1" customWidth="1"/>
    <col min="26" max="26" width="11.6640625" bestFit="1" customWidth="1"/>
  </cols>
  <sheetData>
    <row r="3" spans="2:26" x14ac:dyDescent="0.2">
      <c r="B3" t="s">
        <v>69</v>
      </c>
      <c r="C3" t="s">
        <v>70</v>
      </c>
      <c r="D3" t="s">
        <v>71</v>
      </c>
      <c r="E3" t="s">
        <v>72</v>
      </c>
      <c r="F3" t="s">
        <v>73</v>
      </c>
      <c r="G3" s="20" t="s">
        <v>75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2:26" x14ac:dyDescent="0.2">
      <c r="F4" t="s">
        <v>74</v>
      </c>
      <c r="G4">
        <v>7.0000000000000001E-3</v>
      </c>
      <c r="H4">
        <v>1.4999999999999999E-2</v>
      </c>
      <c r="I4">
        <v>3.1199999999999999E-2</v>
      </c>
      <c r="J4">
        <v>6.25E-2</v>
      </c>
      <c r="K4">
        <v>0.125</v>
      </c>
      <c r="L4">
        <v>0.25</v>
      </c>
      <c r="M4">
        <v>0.5</v>
      </c>
      <c r="N4">
        <v>1</v>
      </c>
      <c r="O4">
        <v>2</v>
      </c>
      <c r="P4">
        <v>4</v>
      </c>
      <c r="Q4">
        <v>8</v>
      </c>
      <c r="R4">
        <v>16</v>
      </c>
      <c r="S4">
        <v>32</v>
      </c>
      <c r="T4">
        <v>64</v>
      </c>
    </row>
    <row r="5" spans="2:26" x14ac:dyDescent="0.2">
      <c r="B5" t="s">
        <v>49</v>
      </c>
      <c r="C5" t="s">
        <v>1</v>
      </c>
      <c r="E5">
        <v>3</v>
      </c>
      <c r="J5">
        <v>50</v>
      </c>
      <c r="K5">
        <v>50</v>
      </c>
    </row>
    <row r="6" spans="2:26" x14ac:dyDescent="0.2">
      <c r="C6" t="s">
        <v>61</v>
      </c>
      <c r="E6">
        <v>6</v>
      </c>
      <c r="I6">
        <v>9.07</v>
      </c>
      <c r="J6">
        <v>90.92</v>
      </c>
    </row>
    <row r="8" spans="2:26" x14ac:dyDescent="0.2">
      <c r="B8" t="s">
        <v>50</v>
      </c>
      <c r="C8" t="s">
        <v>61</v>
      </c>
      <c r="E8">
        <v>6</v>
      </c>
      <c r="K8">
        <v>80</v>
      </c>
      <c r="L8">
        <v>20</v>
      </c>
    </row>
    <row r="13" spans="2:26" x14ac:dyDescent="0.2">
      <c r="Y13" s="4"/>
      <c r="Z13" s="4"/>
    </row>
  </sheetData>
  <sortState xmlns:xlrd2="http://schemas.microsoft.com/office/spreadsheetml/2017/richdata2" ref="X8:X21">
    <sortCondition ref="X8"/>
  </sortState>
  <mergeCells count="1">
    <mergeCell ref="G3:T3"/>
  </mergeCells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Agar Resutls</vt:lpstr>
      <vt:lpstr>Re</vt:lpstr>
      <vt:lpstr>Sheet3</vt:lpstr>
      <vt:lpstr>AST</vt:lpstr>
      <vt:lpstr>MIC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Hari Marasini</cp:lastModifiedBy>
  <dcterms:created xsi:type="dcterms:W3CDTF">2025-11-27T05:36:39Z</dcterms:created>
  <dcterms:modified xsi:type="dcterms:W3CDTF">2026-04-15T01:28:06Z</dcterms:modified>
</cp:coreProperties>
</file>